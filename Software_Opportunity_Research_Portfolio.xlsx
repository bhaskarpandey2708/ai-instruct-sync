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EADME" sheetId="1" state="visible" r:id="rId1"/>
    <sheet xmlns:r="http://schemas.openxmlformats.org/officeDocument/2006/relationships" name="01_Master_Portfolio" sheetId="2" state="visible" r:id="rId2"/>
    <sheet xmlns:r="http://schemas.openxmlformats.org/officeDocument/2006/relationships" name="02_Deep_Research" sheetId="3" state="visible" r:id="rId3"/>
    <sheet xmlns:r="http://schemas.openxmlformats.org/officeDocument/2006/relationships" name="03_Build_Delivery" sheetId="4" state="visible" r:id="rId4"/>
    <sheet xmlns:r="http://schemas.openxmlformats.org/officeDocument/2006/relationships" name="04_Monetization" sheetId="5" state="visible" r:id="rId5"/>
    <sheet xmlns:r="http://schemas.openxmlformats.org/officeDocument/2006/relationships" name="05_Scoring_Matrix" sheetId="6" state="visible" r:id="rId6"/>
    <sheet xmlns:r="http://schemas.openxmlformats.org/officeDocument/2006/relationships" name="06_Pipeline" sheetId="7" state="visible" r:id="rId7"/>
    <sheet xmlns:r="http://schemas.openxmlformats.org/officeDocument/2006/relationships" name="07_Market_Context" sheetId="8" state="visible" r:id="rId8"/>
    <sheet xmlns:r="http://schemas.openxmlformats.org/officeDocument/2006/relationships" name="08_Research_Log" sheetId="9" state="visible" r:id="rId9"/>
  </sheets>
  <definedNames>
    <definedName name="_xlnm._FilterDatabase" localSheetId="1" hidden="1">'01_Master_Portfolio'!$A$4:$U$36</definedName>
    <definedName name="_xlnm._FilterDatabase" localSheetId="2" hidden="1">'02_Deep_Research'!$A$4:$O$36</definedName>
    <definedName name="_xlnm._FilterDatabase" localSheetId="3" hidden="1">'03_Build_Delivery'!$A$4:$O$36</definedName>
    <definedName name="_xlnm._FilterDatabase" localSheetId="4" hidden="1">'04_Monetization'!$A$4:$J$36</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F4E79"/>
      <sz val="16"/>
    </font>
    <font>
      <name val="Arial"/>
      <i val="1"/>
      <color rgb="00666666"/>
      <sz val="10"/>
    </font>
    <font>
      <name val="Arial"/>
      <b val="1"/>
      <color rgb="00FFFFFF"/>
      <sz val="12"/>
    </font>
    <font>
      <name val="Arial"/>
      <color rgb="00000000"/>
      <sz val="10"/>
    </font>
    <font>
      <name val="Arial"/>
      <i val="1"/>
      <color rgb="00666666"/>
      <sz val="9"/>
    </font>
    <font>
      <name val="Arial"/>
      <b val="1"/>
      <color rgb="00FFFFFF"/>
      <sz val="10"/>
    </font>
    <font>
      <name val="Arial"/>
      <color rgb="000000FF"/>
      <sz val="10"/>
    </font>
    <font>
      <name val="Arial"/>
      <b val="1"/>
      <color rgb="00000000"/>
      <sz val="10"/>
    </font>
    <font>
      <name val="Arial"/>
      <b val="1"/>
      <color rgb="001F4E79"/>
      <sz val="11"/>
    </font>
    <font>
      <name val="Arial"/>
      <i val="1"/>
      <sz val="9"/>
    </font>
    <font>
      <name val="Arial"/>
      <i val="1"/>
      <sz val="10"/>
    </font>
  </fonts>
  <fills count="11">
    <fill>
      <patternFill/>
    </fill>
    <fill>
      <patternFill patternType="gray125"/>
    </fill>
    <fill>
      <patternFill patternType="solid">
        <fgColor rgb="002E75B6"/>
      </patternFill>
    </fill>
    <fill>
      <patternFill patternType="solid">
        <fgColor rgb="001F4E79"/>
      </patternFill>
    </fill>
    <fill>
      <patternFill patternType="solid">
        <fgColor rgb="00FFFF99"/>
      </patternFill>
    </fill>
    <fill>
      <patternFill patternType="solid">
        <fgColor rgb="00F2F2F2"/>
      </patternFill>
    </fill>
    <fill>
      <patternFill patternType="solid">
        <fgColor rgb="00C6EFCE"/>
      </patternFill>
    </fill>
    <fill>
      <patternFill patternType="solid">
        <fgColor rgb="00FFEB9C"/>
      </patternFill>
    </fill>
    <fill>
      <patternFill patternType="solid">
        <fgColor rgb="00BDD7EE"/>
      </patternFill>
    </fill>
    <fill>
      <patternFill patternType="solid">
        <fgColor rgb="00D9D9D9"/>
      </patternFill>
    </fill>
    <fill>
      <patternFill patternType="solid">
        <fgColor rgb="00FFFFFF"/>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44">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4" fillId="0" borderId="0" applyAlignment="1" pivotButton="0" quotePrefix="0" xfId="0">
      <alignment vertical="top" wrapText="1"/>
    </xf>
    <xf numFmtId="0" fontId="5" fillId="0" borderId="0" pivotButton="0" quotePrefix="0" xfId="0"/>
    <xf numFmtId="0" fontId="6" fillId="3"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vertical="top" wrapText="1"/>
    </xf>
    <xf numFmtId="0" fontId="7" fillId="4"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4" fillId="5" borderId="1" applyAlignment="1" pivotButton="0" quotePrefix="0" xfId="0">
      <alignment horizontal="left" vertical="center" wrapText="1"/>
    </xf>
    <xf numFmtId="0" fontId="4" fillId="5" borderId="1" applyAlignment="1" pivotButton="0" quotePrefix="0" xfId="0">
      <alignment vertical="top" wrapText="1"/>
    </xf>
    <xf numFmtId="0" fontId="8" fillId="5" borderId="1" applyAlignment="1" pivotButton="0" quotePrefix="0" xfId="0">
      <alignment horizontal="left" vertical="center" wrapText="1"/>
    </xf>
    <xf numFmtId="0" fontId="9" fillId="0" borderId="0" pivotButton="0" quotePrefix="0" xfId="0"/>
    <xf numFmtId="0" fontId="7" fillId="4" borderId="0" pivotButton="0" quotePrefix="0" xfId="0"/>
    <xf numFmtId="0" fontId="8" fillId="0"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4" fillId="10" borderId="1" applyAlignment="1" pivotButton="0" quotePrefix="0" xfId="0">
      <alignment horizontal="left" vertical="center" wrapText="1"/>
    </xf>
    <xf numFmtId="0" fontId="4" fillId="10" borderId="1" applyAlignment="1" pivotButton="0" quotePrefix="0" xfId="0">
      <alignment vertical="top" wrapText="1"/>
    </xf>
    <xf numFmtId="0" fontId="4" fillId="0" borderId="1" pivotButton="0" quotePrefix="0" xfId="0"/>
    <xf numFmtId="0" fontId="4" fillId="10" borderId="1" applyAlignment="1" pivotButton="0" quotePrefix="0" xfId="0">
      <alignment horizontal="center" vertical="center" wrapText="1"/>
    </xf>
    <xf numFmtId="0" fontId="7" fillId="4" borderId="1" applyAlignment="1" pivotButton="0" quotePrefix="0" xfId="0">
      <alignment horizontal="left" vertical="center" wrapText="1"/>
    </xf>
    <xf numFmtId="0" fontId="4" fillId="0" borderId="1" applyAlignment="1" pivotButton="0" quotePrefix="0" xfId="0">
      <alignment horizontal="center" vertical="center" wrapText="1"/>
    </xf>
    <xf numFmtId="0" fontId="10" fillId="0" borderId="0" pivotButton="0" quotePrefix="0" xfId="0"/>
    <xf numFmtId="0" fontId="4" fillId="6" borderId="1" applyAlignment="1" pivotButton="0" quotePrefix="0" xfId="0">
      <alignment horizontal="left" vertical="center" wrapText="1"/>
    </xf>
    <xf numFmtId="0" fontId="8" fillId="6" borderId="1" applyAlignment="1" pivotButton="0" quotePrefix="0" xfId="0">
      <alignment horizontal="left" vertical="center" wrapText="1"/>
    </xf>
    <xf numFmtId="0" fontId="4" fillId="6" borderId="1" applyAlignment="1" pivotButton="0" quotePrefix="0" xfId="0">
      <alignment vertical="top" wrapText="1"/>
    </xf>
    <xf numFmtId="0" fontId="4" fillId="7" borderId="1" applyAlignment="1" pivotButton="0" quotePrefix="0" xfId="0">
      <alignment horizontal="left" vertical="center" wrapText="1"/>
    </xf>
    <xf numFmtId="0" fontId="8" fillId="7" borderId="1" applyAlignment="1" pivotButton="0" quotePrefix="0" xfId="0">
      <alignment horizontal="left" vertical="center" wrapText="1"/>
    </xf>
    <xf numFmtId="0" fontId="4" fillId="7" borderId="1" applyAlignment="1" pivotButton="0" quotePrefix="0" xfId="0">
      <alignment vertical="top" wrapText="1"/>
    </xf>
    <xf numFmtId="0" fontId="4" fillId="8" borderId="1" applyAlignment="1" pivotButton="0" quotePrefix="0" xfId="0">
      <alignment horizontal="left" vertical="center" wrapText="1"/>
    </xf>
    <xf numFmtId="0" fontId="8" fillId="8" borderId="1" applyAlignment="1" pivotButton="0" quotePrefix="0" xfId="0">
      <alignment horizontal="left" vertical="center" wrapText="1"/>
    </xf>
    <xf numFmtId="0" fontId="4" fillId="8" borderId="1" applyAlignment="1" pivotButton="0" quotePrefix="0" xfId="0">
      <alignment vertical="top" wrapText="1"/>
    </xf>
    <xf numFmtId="0" fontId="11" fillId="0" borderId="0" pivotButton="0" quotePrefix="0" xfId="0"/>
    <xf numFmtId="0" fontId="10" fillId="0" borderId="0" applyAlignment="1" pivotButton="0" quotePrefix="0" xfId="0">
      <alignment vertical="top" wrapText="1"/>
    </xf>
    <xf numFmtId="0" fontId="7" fillId="4" borderId="1" applyAlignment="1" pivotButton="0" quotePrefix="0" xfId="0">
      <alignment vertical="top" wrapText="1"/>
    </xf>
    <xf numFmtId="0" fontId="7" fillId="4" borderId="1" pivotButton="0" quotePrefix="0" xfId="0"/>
  </cellXfs>
  <cellStyles count="1">
    <cellStyle name="Normal" xfId="0" builtinId="0" hidden="0"/>
  </cellStyles>
  <dxfs count="4">
    <dxf>
      <fill>
        <patternFill patternType="solid">
          <fgColor rgb="00C6EFCE"/>
        </patternFill>
      </fill>
    </dxf>
    <dxf>
      <fill>
        <patternFill patternType="solid">
          <fgColor rgb="00FFEB9C"/>
        </patternFill>
      </fill>
    </dxf>
    <dxf>
      <fill>
        <patternFill patternType="solid">
          <fgColor rgb="00BDD7EE"/>
        </patternFill>
      </fill>
    </dxf>
    <dxf>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Opportunity TOTAL Score</a:t>
            </a:r>
          </a:p>
        </rich>
      </tx>
    </title>
    <plotArea>
      <barChart>
        <barDir val="col"/>
        <grouping val="clustered"/>
        <ser>
          <idx val="0"/>
          <order val="0"/>
          <tx>
            <strRef>
              <f>'05_Scoring_Matrix'!H4</f>
            </strRef>
          </tx>
          <spPr>
            <a:ln xmlns:a="http://schemas.openxmlformats.org/drawingml/2006/main">
              <a:prstDash val="solid"/>
            </a:ln>
          </spPr>
          <cat>
            <numRef>
              <f>'05_Scoring_Matrix'!$B$5:$B$36</f>
            </numRef>
          </cat>
          <val>
            <numRef>
              <f>'05_Scoring_Matrix'!$H$5:$H$36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Opportunity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TOTAL (max 25)</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10</col>
      <colOff>0</colOff>
      <row>3</row>
      <rowOff>0</rowOff>
    </from>
    <ext cx="792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2:D44"/>
  <sheetViews>
    <sheetView showGridLines="0" workbookViewId="0">
      <selection activeCell="A1" sqref="A1"/>
    </sheetView>
  </sheetViews>
  <sheetFormatPr baseColWidth="8" defaultRowHeight="15"/>
  <cols>
    <col width="3" customWidth="1" min="1" max="1"/>
    <col width="28" customWidth="1" min="2" max="2"/>
    <col width="90" customWidth="1" min="3" max="3"/>
    <col width="24" customWidth="1" min="4" max="4"/>
  </cols>
  <sheetData>
    <row r="2" ht="24" customHeight="1">
      <c r="B2" s="1" t="inlineStr">
        <is>
          <t>Software Opportunity Research Portfolio</t>
        </is>
      </c>
    </row>
    <row r="3">
      <c r="B3" s="2" t="inlineStr">
        <is>
          <t>Generated 2026-07-11 · 32 opportunities (P01–P32) · Scores editable · Totals &amp; Priority are Excel formulas</t>
        </is>
      </c>
    </row>
    <row r="5" ht="18" customHeight="1">
      <c r="B5" s="3" t="inlineStr">
        <is>
          <t>How to use</t>
        </is>
      </c>
      <c r="C5" s="4" t="n"/>
    </row>
    <row r="6" ht="18" customHeight="1">
      <c r="B6" s="5" t="inlineStr">
        <is>
          <t>•</t>
        </is>
      </c>
      <c r="C6" s="6" t="inlineStr">
        <is>
          <t>1. Edit only yellow cells with blue font (score inputs 1–5) on 01_Master_Portfolio.</t>
        </is>
      </c>
    </row>
    <row r="7" ht="18" customHeight="1">
      <c r="B7" s="5" t="inlineStr">
        <is>
          <t>•</t>
        </is>
      </c>
      <c r="C7" s="6" t="inlineStr">
        <is>
          <t>2. TOTAL (column K) and Priority (column L) recalculate automatically—do not hardcode them.</t>
        </is>
      </c>
    </row>
    <row r="8" ht="18" customHeight="1">
      <c r="B8" s="5" t="inlineStr">
        <is>
          <t>•</t>
        </is>
      </c>
      <c r="C8" s="6" t="inlineStr">
        <is>
          <t>3. Priority bands: NOW ≥ 20 · NEXT 16–19 · LATER 12–15 · PARK &lt; 12 (sum of five scores).</t>
        </is>
      </c>
    </row>
    <row r="9" ht="18" customHeight="1">
      <c r="B9" s="5" t="inlineStr">
        <is>
          <t>•</t>
        </is>
      </c>
      <c r="C9" s="6" t="inlineStr">
        <is>
          <t>4. Review 02–04 for research, build, and monetization detail per opportunity.</t>
        </is>
      </c>
    </row>
    <row r="10" ht="18" customHeight="1">
      <c r="B10" s="5" t="inlineStr">
        <is>
          <t>•</t>
        </is>
      </c>
      <c r="C10" s="6" t="inlineStr">
        <is>
          <t>5. Use 05_Scoring_Matrix for visual ranking; 06_Pipeline for phase planning.</t>
        </is>
      </c>
    </row>
    <row r="11" ht="18" customHeight="1">
      <c r="B11" s="5" t="inlineStr">
        <is>
          <t>•</t>
        </is>
      </c>
      <c r="C11" s="6" t="inlineStr">
        <is>
          <t>6. 07_Market_Context holds macro notes (directional figures with sources).</t>
        </is>
      </c>
    </row>
    <row r="12" ht="18" customHeight="1">
      <c r="B12" s="5" t="inlineStr">
        <is>
          <t>•</t>
        </is>
      </c>
      <c r="C12" s="6" t="inlineStr">
        <is>
          <t>7. Log new research in 08_Research_Log. Keep CSV export in sync when scores change (re-run generator or copy Master).</t>
        </is>
      </c>
    </row>
    <row r="13" ht="18" customHeight="1">
      <c r="B13" s="5" t="inlineStr">
        <is>
          <t>•</t>
        </is>
      </c>
      <c r="C13" s="6" t="inlineStr">
        <is>
          <t>8. Conventions: blue font + yellow fill = inputs; black = labels/formulas (financial modeling style).</t>
        </is>
      </c>
    </row>
    <row r="14" ht="18" customHeight="1">
      <c r="B14" s="5" t="inlineStr">
        <is>
          <t>•</t>
        </is>
      </c>
      <c r="C14" s="6" t="inlineStr">
        <is>
          <t>9. Visibility marker (Master cols M–N): OPEN-CORE = public OSS repo with a paid layer on top; PRIVATE-PAID = closed source, the product itself is paid.</t>
        </is>
      </c>
    </row>
    <row r="15" ht="18" customHeight="1"/>
    <row r="16" ht="18" customHeight="1">
      <c r="B16" s="3" t="inlineStr">
        <is>
          <t>Sheets</t>
        </is>
      </c>
      <c r="C16" s="4" t="n"/>
    </row>
    <row r="17" ht="18" customHeight="1">
      <c r="B17" s="5" t="inlineStr">
        <is>
          <t>•</t>
        </is>
      </c>
      <c r="C17" s="6" t="inlineStr">
        <is>
          <t>00_README — this guide</t>
        </is>
      </c>
    </row>
    <row r="18" ht="18" customHeight="1">
      <c r="B18" s="5" t="inlineStr">
        <is>
          <t>•</t>
        </is>
      </c>
      <c r="C18" s="6" t="inlineStr">
        <is>
          <t>01_Master_Portfolio — all opportunities, scores, TOTAL formula, Priority formula</t>
        </is>
      </c>
    </row>
    <row r="19" ht="18" customHeight="1">
      <c r="B19" s="5" t="inlineStr">
        <is>
          <t>•</t>
        </is>
      </c>
      <c r="C19" s="6" t="inlineStr">
        <is>
          <t>02_Deep_Research — market, competitors, risks, evidence, next research</t>
        </is>
      </c>
    </row>
    <row r="20" ht="18" customHeight="1">
      <c r="B20" s="5" t="inlineStr">
        <is>
          <t>•</t>
        </is>
      </c>
      <c r="C20" s="6" t="inlineStr">
        <is>
          <t>03_Build_Delivery — platforms, MVP, stack, repo, effort</t>
        </is>
      </c>
    </row>
    <row r="21" ht="18" customHeight="1">
      <c r="B21" s="5" t="inlineStr">
        <is>
          <t>•</t>
        </is>
      </c>
      <c r="C21" s="6" t="inlineStr">
        <is>
          <t>04_Monetization — ICP, pricing, GTM, revenue model</t>
        </is>
      </c>
    </row>
    <row r="22" ht="18" customHeight="1">
      <c r="B22" s="5" t="inlineStr">
        <is>
          <t>•</t>
        </is>
      </c>
      <c r="C22" s="6" t="inlineStr">
        <is>
          <t>05_Scoring_Matrix — linked scores + color scale + bar chart</t>
        </is>
      </c>
    </row>
    <row r="23" ht="18" customHeight="1">
      <c r="B23" s="5" t="inlineStr">
        <is>
          <t>•</t>
        </is>
      </c>
      <c r="C23" s="6" t="inlineStr">
        <is>
          <t>06_Pipeline — NOW / NEXT / LATER / PARK phases</t>
        </is>
      </c>
    </row>
    <row r="24" ht="18" customHeight="1">
      <c r="B24" s="5" t="inlineStr">
        <is>
          <t>•</t>
        </is>
      </c>
      <c r="C24" s="6" t="inlineStr">
        <is>
          <t>07_Market_Context — macro market notes &amp; sources</t>
        </is>
      </c>
    </row>
    <row r="25" ht="18" customHeight="1">
      <c r="B25" s="5" t="inlineStr">
        <is>
          <t>•</t>
        </is>
      </c>
      <c r="C25" s="6" t="inlineStr">
        <is>
          <t>08_Research_Log — dated research log entries</t>
        </is>
      </c>
    </row>
    <row r="26" ht="18" customHeight="1"/>
    <row r="27" ht="18" customHeight="1">
      <c r="B27" s="3" t="inlineStr">
        <is>
          <t>Scoring dimensions (1–5)</t>
        </is>
      </c>
      <c r="C27" s="4" t="n"/>
    </row>
    <row r="28" ht="18" customHeight="1">
      <c r="B28" s="5" t="inlineStr">
        <is>
          <t>•</t>
        </is>
      </c>
      <c r="C28" s="6" t="inlineStr">
        <is>
          <t>Burn — how painful/urgent is the problem for buyers?</t>
        </is>
      </c>
    </row>
    <row r="29" ht="18" customHeight="1">
      <c r="B29" s="5" t="inlineStr">
        <is>
          <t>•</t>
        </is>
      </c>
      <c r="C29" s="6" t="inlineStr">
        <is>
          <t>Software-native — can this be pure software with leverage (not services-heavy)?</t>
        </is>
      </c>
    </row>
    <row r="30" ht="18" customHeight="1">
      <c r="B30" s="5" t="inlineStr">
        <is>
          <t>•</t>
        </is>
      </c>
      <c r="C30" s="6" t="inlineStr">
        <is>
          <t>Ship speed — how fast can a small team ship a credible MVP?</t>
        </is>
      </c>
    </row>
    <row r="31" ht="18" customHeight="1">
      <c r="B31" s="5" t="inlineStr">
        <is>
          <t>•</t>
        </is>
      </c>
      <c r="C31" s="6" t="inlineStr">
        <is>
          <t>Distribution — can you reach users cheaply (npx, communities, PLG)?</t>
        </is>
      </c>
    </row>
    <row r="32" ht="18" customHeight="1">
      <c r="B32" s="5" t="inlineStr">
        <is>
          <t>•</t>
        </is>
      </c>
      <c r="C32" s="6" t="inlineStr">
        <is>
          <t>Moat — defensibility over 2–3 years (data, network, workflow lock-in, brand).</t>
        </is>
      </c>
    </row>
    <row r="33" ht="18" customHeight="1"/>
    <row r="34" ht="18" customHeight="1">
      <c r="B34" s="3" t="inlineStr">
        <is>
          <t>Files</t>
        </is>
      </c>
      <c r="C34" s="4" t="n"/>
    </row>
    <row r="35" ht="18" customHeight="1">
      <c r="B35" s="5" t="inlineStr">
        <is>
          <t>•</t>
        </is>
      </c>
      <c r="C35" s="6" t="inlineStr">
        <is>
          <t>Excel: Software_Opportunity_Research_Portfolio.xlsx</t>
        </is>
      </c>
    </row>
    <row r="36" ht="18" customHeight="1">
      <c r="B36" s="5" t="inlineStr">
        <is>
          <t>•</t>
        </is>
      </c>
      <c r="C36" s="6" t="inlineStr">
        <is>
          <t>CSV mirror of Master: Software_Opportunity_Master_Portfolio.csv</t>
        </is>
      </c>
    </row>
    <row r="37" ht="18" customHeight="1">
      <c r="B37" s="5" t="inlineStr">
        <is>
          <t>•</t>
        </is>
      </c>
      <c r="C37" s="6" t="inlineStr">
        <is>
          <t>Index: SOFTWARE_PORTFOLIO_INDEX.md</t>
        </is>
      </c>
    </row>
    <row r="38" ht="18" customHeight="1">
      <c r="B38" s="5" t="inlineStr">
        <is>
          <t>•</t>
        </is>
      </c>
      <c r="C38" s="6" t="inlineStr">
        <is>
          <t>Regenerate: python3 scripts/generate_software_portfolio.py</t>
        </is>
      </c>
    </row>
    <row r="39" ht="18" customHeight="1"/>
    <row r="40" ht="18" customHeight="1">
      <c r="B40" s="3" t="inlineStr">
        <is>
          <t>Working context</t>
        </is>
      </c>
      <c r="C40" s="4" t="n"/>
    </row>
    <row r="41" ht="18" customHeight="1">
      <c r="B41" s="5" t="inlineStr">
        <is>
          <t>•</t>
        </is>
      </c>
      <c r="C41" s="6" t="inlineStr">
        <is>
          <t>Shipped on npm: ai-instruct-sync@0.2.0-beta.0 (P01), ai-setup-doctor@0.1.0-beta.0 (P02), @bhaskarauthor/mcp-sync@0.2.0 + mcp-config-sync (P03).</t>
        </is>
      </c>
    </row>
    <row r="42" ht="18" customHeight="1">
      <c r="B42" s="5" t="inlineStr">
        <is>
          <t>•</t>
        </is>
      </c>
      <c r="C42" s="6" t="inlineStr">
        <is>
          <t>Strategic line — AI dev hygiene suite: sync (P01/P03) → diagnose (P02) → secure (P29) → control spend (P30); same audience, same npx flywheel, paid layers on top.</t>
        </is>
      </c>
    </row>
    <row r="43" ht="18" customHeight="1">
      <c r="B43" s="5" t="inlineStr">
        <is>
          <t>•</t>
        </is>
      </c>
      <c r="C43" s="6" t="inlineStr">
        <is>
          <t>Default bias: ship AI CLI tooling NOW; India SMB and heavier SaaS NEXT/LATER; P31 indic-voice-flow is the standalone consumer revenue bet.</t>
        </is>
      </c>
    </row>
    <row r="44" ht="18" customHeight="1">
      <c r="B44" s="5" t="inlineStr">
        <is>
          <t>•</t>
        </is>
      </c>
      <c r="C44" s="6" t="inlineStr">
        <is>
          <t>Figures in Market Context are directional mid-decade estimates—validate before fundraising decks.</t>
        </is>
      </c>
    </row>
    <row r="45" ht="18" customHeight="1"/>
  </sheetData>
  <mergeCells count="7">
    <mergeCell ref="B3:D3"/>
    <mergeCell ref="B16:C16"/>
    <mergeCell ref="B5:C5"/>
    <mergeCell ref="B34:C34"/>
    <mergeCell ref="B40:C40"/>
    <mergeCell ref="B27:C27"/>
    <mergeCell ref="B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22" customWidth="1" min="3" max="3"/>
    <col width="48" customWidth="1" min="4" max="4"/>
    <col width="42" customWidth="1" min="5" max="5"/>
    <col width="8" customWidth="1" min="6" max="6"/>
    <col width="14" customWidth="1" min="7" max="7"/>
    <col width="11" customWidth="1" min="8" max="8"/>
    <col width="12" customWidth="1" min="9" max="9"/>
    <col width="8" customWidth="1" min="10" max="10"/>
    <col width="9" customWidth="1" min="11" max="11"/>
    <col width="10" customWidth="1" min="12" max="12"/>
    <col width="14" customWidth="1" min="13" max="13"/>
    <col width="30" customWidth="1" min="14" max="14"/>
    <col width="14" customWidth="1" min="15" max="15"/>
    <col width="14" customWidth="1" min="16" max="16"/>
    <col width="18" customWidth="1" min="17" max="17"/>
    <col width="20" customWidth="1" min="18" max="18"/>
    <col width="28" customWidth="1" min="19" max="19"/>
    <col width="36" customWidth="1" min="20" max="20"/>
    <col width="14" customWidth="1" min="21" max="21"/>
  </cols>
  <sheetData>
    <row r="1">
      <c r="A1" s="1" t="inlineStr">
        <is>
          <t>Software Opportunity Master Portfolio</t>
        </is>
      </c>
    </row>
    <row r="2">
      <c r="A2" s="7" t="inlineStr">
        <is>
          <t>Edit yellow/blue score cells only (F–J). TOTAL = SUM(F:J). Priority = NOW/NEXT/LATER/PARK by TOTAL thresholds. Visibility: OPEN-CORE = public repo + paid layer on top; PRIVATE-PAID = closed source. Sorted recommendation: filter Priority = NOW.</t>
        </is>
      </c>
    </row>
    <row r="4">
      <c r="A4" s="8" t="inlineStr">
        <is>
          <t>ID</t>
        </is>
      </c>
      <c r="B4" s="8" t="inlineStr">
        <is>
          <t>Name</t>
        </is>
      </c>
      <c r="C4" s="8" t="inlineStr">
        <is>
          <t>Category</t>
        </is>
      </c>
      <c r="D4" s="8" t="inlineStr">
        <is>
          <t>One-liner</t>
        </is>
      </c>
      <c r="E4" s="8" t="inlineStr">
        <is>
          <t>Problem</t>
        </is>
      </c>
      <c r="F4" s="8" t="inlineStr">
        <is>
          <t>Burn</t>
        </is>
      </c>
      <c r="G4" s="8" t="inlineStr">
        <is>
          <t>Software-native</t>
        </is>
      </c>
      <c r="H4" s="8" t="inlineStr">
        <is>
          <t>Ship speed</t>
        </is>
      </c>
      <c r="I4" s="8" t="inlineStr">
        <is>
          <t>Distribution</t>
        </is>
      </c>
      <c r="J4" s="8" t="inlineStr">
        <is>
          <t>Moat</t>
        </is>
      </c>
      <c r="K4" s="8" t="inlineStr">
        <is>
          <t>TOTAL</t>
        </is>
      </c>
      <c r="L4" s="8" t="inlineStr">
        <is>
          <t>Priority</t>
        </is>
      </c>
      <c r="M4" s="8" t="inlineStr">
        <is>
          <t>Visibility</t>
        </is>
      </c>
      <c r="N4" s="8" t="inlineStr">
        <is>
          <t>Paid layer</t>
        </is>
      </c>
      <c r="O4" s="8" t="inlineStr">
        <is>
          <t>Status</t>
        </is>
      </c>
      <c r="P4" s="8" t="inlineStr">
        <is>
          <t>Stage</t>
        </is>
      </c>
      <c r="Q4" s="8" t="inlineStr">
        <is>
          <t>Platforms</t>
        </is>
      </c>
      <c r="R4" s="8" t="inlineStr">
        <is>
          <t>Repo</t>
        </is>
      </c>
      <c r="S4" s="8" t="inlineStr">
        <is>
          <t>Tags</t>
        </is>
      </c>
      <c r="T4" s="8" t="inlineStr">
        <is>
          <t>Notes</t>
        </is>
      </c>
      <c r="U4" s="8" t="inlineStr">
        <is>
          <t>Last reviewed</t>
        </is>
      </c>
    </row>
    <row r="5" ht="48" customHeight="1">
      <c r="A5" s="9" t="inlineStr">
        <is>
          <t>P01</t>
        </is>
      </c>
      <c r="B5" s="9" t="inlineStr">
        <is>
          <t>instruct-sync</t>
        </is>
      </c>
      <c r="C5" s="9" t="inlineStr">
        <is>
          <t>AI Tooling</t>
        </is>
      </c>
      <c r="D5" s="10" t="inlineStr">
        <is>
          <t>Sync AI coding rules/instructions across Cursor, Copilot, Claude, Windsurf, Aider, Gemini, Continue</t>
        </is>
      </c>
      <c r="E5" s="10" t="inlineStr">
        <is>
          <t>Every AI coding agent uses different rules files; they drift and teams lose consistency.</t>
        </is>
      </c>
      <c r="F5" s="11" t="n">
        <v>5</v>
      </c>
      <c r="G5" s="11" t="n">
        <v>5</v>
      </c>
      <c r="H5" s="11" t="n">
        <v>5</v>
      </c>
      <c r="I5" s="11" t="n">
        <v>5</v>
      </c>
      <c r="J5" s="11" t="n">
        <v>3</v>
      </c>
      <c r="K5" s="12">
        <f>F5+G5+H5+I5+J5</f>
        <v/>
      </c>
      <c r="L5" s="12">
        <f>IF(K5&gt;=20,"NOW",IF(K5&gt;=16,"NEXT",IF(K5&gt;=12,"LATER","PARK")))</f>
        <v/>
      </c>
      <c r="M5" s="13" t="inlineStr">
        <is>
          <t>OPEN-CORE</t>
        </is>
      </c>
      <c r="N5" s="10" t="inlineStr">
        <is>
          <t>Pro team sync + policy ($8–15/dev/mo)</t>
        </is>
      </c>
      <c r="O5" s="9" t="inlineStr">
        <is>
          <t>Public beta</t>
        </is>
      </c>
      <c r="P5" s="9" t="inlineStr">
        <is>
          <t>Shipped / iterate</t>
        </is>
      </c>
      <c r="Q5" s="9" t="inlineStr">
        <is>
          <t>CLI</t>
        </is>
      </c>
      <c r="R5" s="9" t="inlineStr">
        <is>
          <t>instruct-sync</t>
        </is>
      </c>
      <c r="S5" s="9" t="inlineStr">
        <is>
          <t>AI,CLI,devtools,rules,sync,suite</t>
        </is>
      </c>
      <c r="T5" s="10" t="inlineStr">
        <is>
          <t>npm ai-instruct-sync@0.2.0-beta.0; hygiene suite #1 (sync); primary NOW product</t>
        </is>
      </c>
      <c r="U5" s="9" t="inlineStr">
        <is>
          <t>2026-07-11</t>
        </is>
      </c>
    </row>
    <row r="6" ht="48" customHeight="1">
      <c r="A6" s="14" t="inlineStr">
        <is>
          <t>P02</t>
        </is>
      </c>
      <c r="B6" s="14" t="inlineStr">
        <is>
          <t>ai-setup-doctor</t>
        </is>
      </c>
      <c r="C6" s="14" t="inlineStr">
        <is>
          <t>AI Tooling</t>
        </is>
      </c>
      <c r="D6" s="15" t="inlineStr">
        <is>
          <t>Read-only diagnostics for agents, MCP, secrets, Node/project hygiene before AI coding sessions</t>
        </is>
      </c>
      <c r="E6" s="15" t="inlineStr">
        <is>
          <t>Broken MCP, leaked secrets in agent configs, bloated rules, and project hygiene waste hours.</t>
        </is>
      </c>
      <c r="F6" s="11" t="n">
        <v>5</v>
      </c>
      <c r="G6" s="11" t="n">
        <v>5</v>
      </c>
      <c r="H6" s="11" t="n">
        <v>5</v>
      </c>
      <c r="I6" s="11" t="n">
        <v>4</v>
      </c>
      <c r="J6" s="11" t="n">
        <v>3</v>
      </c>
      <c r="K6" s="12">
        <f>F6+G6+H6+I6+J6</f>
        <v/>
      </c>
      <c r="L6" s="12">
        <f>IF(K6&gt;=20,"NOW",IF(K6&gt;=16,"NEXT",IF(K6&gt;=12,"LATER","PARK")))</f>
        <v/>
      </c>
      <c r="M6" s="16" t="inlineStr">
        <is>
          <t>OPEN-CORE</t>
        </is>
      </c>
      <c r="N6" s="15" t="inlineStr">
        <is>
          <t>Hosted CI checks tier</t>
        </is>
      </c>
      <c r="O6" s="14" t="inlineStr">
        <is>
          <t>Published beta</t>
        </is>
      </c>
      <c r="P6" s="14" t="inlineStr">
        <is>
          <t>Shipped / iterate</t>
        </is>
      </c>
      <c r="Q6" s="14" t="inlineStr">
        <is>
          <t>CLI</t>
        </is>
      </c>
      <c r="R6" s="14" t="inlineStr">
        <is>
          <t>ai-setup-doctor</t>
        </is>
      </c>
      <c r="S6" s="14" t="inlineStr">
        <is>
          <t>AI,CLI,diagnostics,MCP,secrets,suite</t>
        </is>
      </c>
      <c r="T6" s="15" t="inlineStr">
        <is>
          <t>npm ai-setup-doctor@0.1.0-beta.0 (latest+beta); hygiene suite #2 (diagnose)</t>
        </is>
      </c>
      <c r="U6" s="14" t="inlineStr">
        <is>
          <t>2026-07-11</t>
        </is>
      </c>
    </row>
    <row r="7" ht="48" customHeight="1">
      <c r="A7" s="9" t="inlineStr">
        <is>
          <t>P03</t>
        </is>
      </c>
      <c r="B7" s="9" t="inlineStr">
        <is>
          <t>mcp-sync</t>
        </is>
      </c>
      <c r="C7" s="9" t="inlineStr">
        <is>
          <t>AI Tooling</t>
        </is>
      </c>
      <c r="D7" s="10" t="inlineStr">
        <is>
          <t>Canonical MCP server config sync across Cursor, Claude, VS Code, Windsurf clients</t>
        </is>
      </c>
      <c r="E7" s="10" t="inlineStr">
        <is>
          <t>MCP server JSON configs diverge per client; env vars and secrets get copy-pasted unsafely.</t>
        </is>
      </c>
      <c r="F7" s="11" t="n">
        <v>4</v>
      </c>
      <c r="G7" s="11" t="n">
        <v>5</v>
      </c>
      <c r="H7" s="11" t="n">
        <v>5</v>
      </c>
      <c r="I7" s="11" t="n">
        <v>4</v>
      </c>
      <c r="J7" s="11" t="n">
        <v>3</v>
      </c>
      <c r="K7" s="12">
        <f>F7+G7+H7+I7+J7</f>
        <v/>
      </c>
      <c r="L7" s="12">
        <f>IF(K7&gt;=20,"NOW",IF(K7&gt;=16,"NEXT",IF(K7&gt;=12,"LATER","PARK")))</f>
        <v/>
      </c>
      <c r="M7" s="13" t="inlineStr">
        <is>
          <t>OPEN-CORE</t>
        </is>
      </c>
      <c r="N7" s="10" t="inlineStr">
        <is>
          <t>Org-wide MCP catalog ($12/seat)</t>
        </is>
      </c>
      <c r="O7" s="9" t="inlineStr">
        <is>
          <t>Published</t>
        </is>
      </c>
      <c r="P7" s="9" t="inlineStr">
        <is>
          <t>Shipped / iterate</t>
        </is>
      </c>
      <c r="Q7" s="9" t="inlineStr">
        <is>
          <t>CLI,API</t>
        </is>
      </c>
      <c r="R7" s="9" t="inlineStr">
        <is>
          <t>mcp-sync</t>
        </is>
      </c>
      <c r="S7" s="9" t="inlineStr">
        <is>
          <t>AI,MCP,CLI,config,suite</t>
        </is>
      </c>
      <c r="T7" s="10" t="inlineStr">
        <is>
          <t>npm mcp-config-sync@0.2.0 + @bhaskarauthor/mcp-sync; hygiene suite #3; co-located at development/mcp-sync (own git remote)</t>
        </is>
      </c>
      <c r="U7" s="9" t="inlineStr">
        <is>
          <t>2026-07-11</t>
        </is>
      </c>
    </row>
    <row r="8" ht="48" customHeight="1">
      <c r="A8" s="14" t="inlineStr">
        <is>
          <t>P04</t>
        </is>
      </c>
      <c r="B8" s="14" t="inlineStr">
        <is>
          <t>secret-guard</t>
        </is>
      </c>
      <c r="C8" s="14" t="inlineStr">
        <is>
          <t>AI Tooling / Security</t>
        </is>
      </c>
      <c r="D8" s="15" t="inlineStr">
        <is>
          <t>Pre-commit and CI guard against secrets leaking into AI agent rules, MCP env, and prompts</t>
        </is>
      </c>
      <c r="E8" s="15" t="inlineStr">
        <is>
          <t>API keys land in .cursor, CLAUDE.md, MCP env blocks, and chat exports.</t>
        </is>
      </c>
      <c r="F8" s="11" t="n">
        <v>5</v>
      </c>
      <c r="G8" s="11" t="n">
        <v>5</v>
      </c>
      <c r="H8" s="11" t="n">
        <v>4</v>
      </c>
      <c r="I8" s="11" t="n">
        <v>4</v>
      </c>
      <c r="J8" s="11" t="n">
        <v>3</v>
      </c>
      <c r="K8" s="12">
        <f>F8+G8+H8+I8+J8</f>
        <v/>
      </c>
      <c r="L8" s="12">
        <f>IF(K8&gt;=20,"NOW",IF(K8&gt;=16,"NEXT",IF(K8&gt;=12,"LATER","PARK")))</f>
        <v/>
      </c>
      <c r="M8" s="16" t="inlineStr">
        <is>
          <t>OPEN-CORE</t>
        </is>
      </c>
      <c r="N8" s="15" t="inlineStr">
        <is>
          <t>Team dashboard + SARIF CI ($15–40/dev/mo)</t>
        </is>
      </c>
      <c r="O8" s="14" t="inlineStr">
        <is>
          <t>Concept</t>
        </is>
      </c>
      <c r="P8" s="14" t="inlineStr">
        <is>
          <t>Research</t>
        </is>
      </c>
      <c r="Q8" s="14" t="inlineStr">
        <is>
          <t>CLI,Extension,API</t>
        </is>
      </c>
      <c r="R8" s="14" t="inlineStr">
        <is>
          <t>secret-guard</t>
        </is>
      </c>
      <c r="S8" s="14" t="inlineStr">
        <is>
          <t>security,secrets,AI,CI</t>
        </is>
      </c>
      <c r="T8" s="15" t="inlineStr">
        <is>
          <t>Can extract patterns from setup-doctor secret checks</t>
        </is>
      </c>
      <c r="U8" s="14" t="inlineStr">
        <is>
          <t>2026-07-11</t>
        </is>
      </c>
    </row>
    <row r="9" ht="48" customHeight="1">
      <c r="A9" s="9" t="inlineStr">
        <is>
          <t>P05</t>
        </is>
      </c>
      <c r="B9" s="9" t="inlineStr">
        <is>
          <t>llm-spend</t>
        </is>
      </c>
      <c r="C9" s="9" t="inlineStr">
        <is>
          <t>AI Tooling / FinOps</t>
        </is>
      </c>
      <c r="D9" s="10" t="inlineStr">
        <is>
          <t>Unified LLM cost, token, and budget observability across OpenAI, Anthropic, Google, Azure, open models</t>
        </is>
      </c>
      <c r="E9" s="10" t="inlineStr">
        <is>
          <t>Teams burn LLM budget with zero allocation visibility by project/user/feature.</t>
        </is>
      </c>
      <c r="F9" s="11" t="n">
        <v>5</v>
      </c>
      <c r="G9" s="11" t="n">
        <v>5</v>
      </c>
      <c r="H9" s="11" t="n">
        <v>3</v>
      </c>
      <c r="I9" s="11" t="n">
        <v>3</v>
      </c>
      <c r="J9" s="11" t="n">
        <v>3</v>
      </c>
      <c r="K9" s="12">
        <f>F9+G9+H9+I9+J9</f>
        <v/>
      </c>
      <c r="L9" s="12">
        <f>IF(K9&gt;=20,"NOW",IF(K9&gt;=16,"NEXT",IF(K9&gt;=12,"LATER","PARK")))</f>
        <v/>
      </c>
      <c r="M9" s="13" t="inlineStr">
        <is>
          <t>PRIVATE-PAID</t>
        </is>
      </c>
      <c r="N9" s="10" t="inlineStr">
        <is>
          <t>SaaS usage tiers ($49–299/mo)</t>
        </is>
      </c>
      <c r="O9" s="9" t="inlineStr">
        <is>
          <t>Concept</t>
        </is>
      </c>
      <c r="P9" s="9" t="inlineStr">
        <is>
          <t>Research</t>
        </is>
      </c>
      <c r="Q9" s="9" t="inlineStr">
        <is>
          <t>Web,API,CLI</t>
        </is>
      </c>
      <c r="R9" s="9" t="inlineStr">
        <is>
          <t>llm-spend</t>
        </is>
      </c>
      <c r="S9" s="9" t="inlineStr">
        <is>
          <t>AI,FinOps,observability,cost</t>
        </is>
      </c>
      <c r="T9" s="10" t="inlineStr">
        <is>
          <t>Superseded for NOW by P30 agent-spend-guard (guardrails wedge); keep as broad-platform LATER path</t>
        </is>
      </c>
      <c r="U9" s="9" t="inlineStr">
        <is>
          <t>2026-07-11</t>
        </is>
      </c>
    </row>
    <row r="10" ht="48" customHeight="1">
      <c r="A10" s="14" t="inlineStr">
        <is>
          <t>P06</t>
        </is>
      </c>
      <c r="B10" s="14" t="inlineStr">
        <is>
          <t>skill-sync</t>
        </is>
      </c>
      <c r="C10" s="14" t="inlineStr">
        <is>
          <t>AI Tooling</t>
        </is>
      </c>
      <c r="D10" s="15" t="inlineStr">
        <is>
          <t>Package, version, and sync agent skills/tools/prompts like packages across teams</t>
        </is>
      </c>
      <c r="E10" s="15" t="inlineStr">
        <is>
          <t>Custom agent skills and prompt packs are copy-pasted Slackware with no versions.</t>
        </is>
      </c>
      <c r="F10" s="11" t="n">
        <v>3</v>
      </c>
      <c r="G10" s="11" t="n">
        <v>5</v>
      </c>
      <c r="H10" s="11" t="n">
        <v>3</v>
      </c>
      <c r="I10" s="11" t="n">
        <v>3</v>
      </c>
      <c r="J10" s="11" t="n">
        <v>4</v>
      </c>
      <c r="K10" s="12">
        <f>F10+G10+H10+I10+J10</f>
        <v/>
      </c>
      <c r="L10" s="12">
        <f>IF(K10&gt;=20,"NOW",IF(K10&gt;=16,"NEXT",IF(K10&gt;=12,"LATER","PARK")))</f>
        <v/>
      </c>
      <c r="M10" s="16" t="inlineStr">
        <is>
          <t>OPEN-CORE</t>
        </is>
      </c>
      <c r="N10" s="15" t="inlineStr">
        <is>
          <t>Private registry ($99+/mo)</t>
        </is>
      </c>
      <c r="O10" s="14" t="inlineStr">
        <is>
          <t>Concept</t>
        </is>
      </c>
      <c r="P10" s="14" t="inlineStr">
        <is>
          <t>Watch</t>
        </is>
      </c>
      <c r="Q10" s="14" t="inlineStr">
        <is>
          <t>CLI,API,Web</t>
        </is>
      </c>
      <c r="R10" s="14" t="inlineStr">
        <is>
          <t>skill-sync</t>
        </is>
      </c>
      <c r="S10" s="14" t="inlineStr">
        <is>
          <t>AI,skills,registry,devtools</t>
        </is>
      </c>
      <c r="T10" s="15" t="inlineStr">
        <is>
          <t>Depends on skills format maturity (Claude skills, custom tools)</t>
        </is>
      </c>
      <c r="U10" s="14" t="inlineStr">
        <is>
          <t>2026-07-11</t>
        </is>
      </c>
    </row>
    <row r="11" ht="48" customHeight="1">
      <c r="A11" s="9" t="inlineStr">
        <is>
          <t>P07</t>
        </is>
      </c>
      <c r="B11" s="9" t="inlineStr">
        <is>
          <t>shadow-AI</t>
        </is>
      </c>
      <c r="C11" s="9" t="inlineStr">
        <is>
          <t>AI Tooling / Security / GRC</t>
        </is>
      </c>
      <c r="D11" s="10" t="inlineStr">
        <is>
          <t>Discover unauthorized AI tools, browser extensions, and SaaS usage across the enterprise</t>
        </is>
      </c>
      <c r="E11" s="10" t="inlineStr">
        <is>
          <t>Employees paste company data into consumer ChatGPT/Claude without IT visibility.</t>
        </is>
      </c>
      <c r="F11" s="11" t="n">
        <v>5</v>
      </c>
      <c r="G11" s="11" t="n">
        <v>4</v>
      </c>
      <c r="H11" s="11" t="n">
        <v>2</v>
      </c>
      <c r="I11" s="11" t="n">
        <v>2</v>
      </c>
      <c r="J11" s="11" t="n">
        <v>3</v>
      </c>
      <c r="K11" s="12">
        <f>F11+G11+H11+I11+J11</f>
        <v/>
      </c>
      <c r="L11" s="12">
        <f>IF(K11&gt;=20,"NOW",IF(K11&gt;=16,"NEXT",IF(K11&gt;=12,"LATER","PARK")))</f>
        <v/>
      </c>
      <c r="M11" s="13" t="inlineStr">
        <is>
          <t>PRIVATE-PAID</t>
        </is>
      </c>
      <c r="N11" s="10" t="inlineStr">
        <is>
          <t>Enterprise per-seat SaaS</t>
        </is>
      </c>
      <c r="O11" s="9" t="inlineStr">
        <is>
          <t>Concept</t>
        </is>
      </c>
      <c r="P11" s="9" t="inlineStr">
        <is>
          <t>Research</t>
        </is>
      </c>
      <c r="Q11" s="9" t="inlineStr">
        <is>
          <t>Web,Extension,API</t>
        </is>
      </c>
      <c r="R11" s="9" t="inlineStr">
        <is>
          <t>shadow-ai</t>
        </is>
      </c>
      <c r="S11" s="9" t="inlineStr">
        <is>
          <t>security,GRC,CASB,AI</t>
        </is>
      </c>
      <c r="T11" s="10" t="inlineStr">
        <is>
          <t>Enterprise sales motion; not indie-friendly</t>
        </is>
      </c>
      <c r="U11" s="9" t="inlineStr">
        <is>
          <t>2026-07-11</t>
        </is>
      </c>
    </row>
    <row r="12" ht="48" customHeight="1">
      <c r="A12" s="14" t="inlineStr">
        <is>
          <t>P08</t>
        </is>
      </c>
      <c r="B12" s="14" t="inlineStr">
        <is>
          <t>eval-harness</t>
        </is>
      </c>
      <c r="C12" s="14" t="inlineStr">
        <is>
          <t>AI Tooling</t>
        </is>
      </c>
      <c r="D12" s="15" t="inlineStr">
        <is>
          <t>Lightweight eval harness for prompt/agent regression tests in CI for product teams</t>
        </is>
      </c>
      <c r="E12" s="15" t="inlineStr">
        <is>
          <t>Prompt changes break behavior silently; full ML platforms are overkill for app teams.</t>
        </is>
      </c>
      <c r="F12" s="11" t="n">
        <v>4</v>
      </c>
      <c r="G12" s="11" t="n">
        <v>5</v>
      </c>
      <c r="H12" s="11" t="n">
        <v>3</v>
      </c>
      <c r="I12" s="11" t="n">
        <v>3</v>
      </c>
      <c r="J12" s="11" t="n">
        <v>3</v>
      </c>
      <c r="K12" s="12">
        <f>F12+G12+H12+I12+J12</f>
        <v/>
      </c>
      <c r="L12" s="12">
        <f>IF(K12&gt;=20,"NOW",IF(K12&gt;=16,"NEXT",IF(K12&gt;=12,"LATER","PARK")))</f>
        <v/>
      </c>
      <c r="M12" s="16" t="inlineStr">
        <is>
          <t>OPEN-CORE</t>
        </is>
      </c>
      <c r="N12" s="15" t="inlineStr">
        <is>
          <t>Cloud runs ($29–199/mo)</t>
        </is>
      </c>
      <c r="O12" s="14" t="inlineStr">
        <is>
          <t>Concept</t>
        </is>
      </c>
      <c r="P12" s="14" t="inlineStr">
        <is>
          <t>Research</t>
        </is>
      </c>
      <c r="Q12" s="14" t="inlineStr">
        <is>
          <t>CLI,API,Web</t>
        </is>
      </c>
      <c r="R12" s="14" t="inlineStr">
        <is>
          <t>eval-harness</t>
        </is>
      </c>
      <c r="S12" s="14" t="inlineStr">
        <is>
          <t>AI,eval,testing,CI</t>
        </is>
      </c>
      <c r="T12" s="15" t="inlineStr">
        <is>
          <t>Compete on simplicity vs LangSmith/Promptfoo</t>
        </is>
      </c>
      <c r="U12" s="14" t="inlineStr">
        <is>
          <t>2026-07-11</t>
        </is>
      </c>
    </row>
    <row r="13" ht="48" customHeight="1">
      <c r="A13" s="9" t="inlineStr">
        <is>
          <t>P09</t>
        </is>
      </c>
      <c r="B13" s="9" t="inlineStr">
        <is>
          <t>auth-anomaly-radar</t>
        </is>
      </c>
      <c r="C13" s="9" t="inlineStr">
        <is>
          <t>Security / Identity / Fraud</t>
        </is>
      </c>
      <c r="D13" s="10" t="inlineStr">
        <is>
          <t>Lightweight auth anomaly detection for SaaS (impossible travel, credential stuffing signals)</t>
        </is>
      </c>
      <c r="E13" s="10" t="inlineStr">
        <is>
          <t>SMBs enable Auth0/Cognito but lack fraud signals without enterprise SIEM.</t>
        </is>
      </c>
      <c r="F13" s="11" t="n">
        <v>4</v>
      </c>
      <c r="G13" s="11" t="n">
        <v>5</v>
      </c>
      <c r="H13" s="11" t="n">
        <v>3</v>
      </c>
      <c r="I13" s="11" t="n">
        <v>2</v>
      </c>
      <c r="J13" s="11" t="n">
        <v>3</v>
      </c>
      <c r="K13" s="12">
        <f>F13+G13+H13+I13+J13</f>
        <v/>
      </c>
      <c r="L13" s="12">
        <f>IF(K13&gt;=20,"NOW",IF(K13&gt;=16,"NEXT",IF(K13&gt;=12,"LATER","PARK")))</f>
        <v/>
      </c>
      <c r="M13" s="13" t="inlineStr">
        <is>
          <t>PRIVATE-PAID</t>
        </is>
      </c>
      <c r="N13" s="10" t="inlineStr">
        <is>
          <t>MAU-based SaaS</t>
        </is>
      </c>
      <c r="O13" s="9" t="inlineStr">
        <is>
          <t>Concept</t>
        </is>
      </c>
      <c r="P13" s="9" t="inlineStr">
        <is>
          <t>Research</t>
        </is>
      </c>
      <c r="Q13" s="9" t="inlineStr">
        <is>
          <t>API,Web</t>
        </is>
      </c>
      <c r="R13" s="9" t="inlineStr">
        <is>
          <t>auth-anomaly-radar</t>
        </is>
      </c>
      <c r="S13" s="9" t="inlineStr">
        <is>
          <t>security,identity,fraud,SaaS</t>
        </is>
      </c>
      <c r="T13" s="10" t="inlineStr">
        <is>
          <t>Integrate as webhook consumer for auth providers</t>
        </is>
      </c>
      <c r="U13" s="9" t="inlineStr">
        <is>
          <t>2026-07-11</t>
        </is>
      </c>
    </row>
    <row r="14" ht="48" customHeight="1">
      <c r="A14" s="14" t="inlineStr">
        <is>
          <t>P10</t>
        </is>
      </c>
      <c r="B14" s="14" t="inlineStr">
        <is>
          <t>fraud-signal-kit</t>
        </is>
      </c>
      <c r="C14" s="14" t="inlineStr">
        <is>
          <t>Security / Identity / Fraud</t>
        </is>
      </c>
      <c r="D14" s="15" t="inlineStr">
        <is>
          <t>Composable fraud signal APIs (device, velocity, email risk) for Indian fintech and marketplaces</t>
        </is>
      </c>
      <c r="E14" s="15" t="inlineStr">
        <is>
          <t>India digital payments fraud needs local signal stacks cheaper than global suites.</t>
        </is>
      </c>
      <c r="F14" s="11" t="n">
        <v>4</v>
      </c>
      <c r="G14" s="11" t="n">
        <v>4</v>
      </c>
      <c r="H14" s="11" t="n">
        <v>2</v>
      </c>
      <c r="I14" s="11" t="n">
        <v>2</v>
      </c>
      <c r="J14" s="11" t="n">
        <v>3</v>
      </c>
      <c r="K14" s="12">
        <f>F14+G14+H14+I14+J14</f>
        <v/>
      </c>
      <c r="L14" s="12">
        <f>IF(K14&gt;=20,"NOW",IF(K14&gt;=16,"NEXT",IF(K14&gt;=12,"LATER","PARK")))</f>
        <v/>
      </c>
      <c r="M14" s="16" t="inlineStr">
        <is>
          <t>PRIVATE-PAID</t>
        </is>
      </c>
      <c r="N14" s="15" t="inlineStr">
        <is>
          <t>Usage-priced API</t>
        </is>
      </c>
      <c r="O14" s="14" t="inlineStr">
        <is>
          <t>Concept</t>
        </is>
      </c>
      <c r="P14" s="14" t="inlineStr">
        <is>
          <t>Watch</t>
        </is>
      </c>
      <c r="Q14" s="14" t="inlineStr">
        <is>
          <t>API</t>
        </is>
      </c>
      <c r="R14" s="14" t="inlineStr">
        <is>
          <t>fraud-signal-kit</t>
        </is>
      </c>
      <c r="S14" s="14" t="inlineStr">
        <is>
          <t>fraud,fintech,India,API</t>
        </is>
      </c>
      <c r="T14" s="15" t="inlineStr">
        <is>
          <t>Regulatory/compliance heavy; partner path</t>
        </is>
      </c>
      <c r="U14" s="14" t="inlineStr">
        <is>
          <t>2026-07-11</t>
        </is>
      </c>
    </row>
    <row r="15" ht="48" customHeight="1">
      <c r="A15" s="9" t="inlineStr">
        <is>
          <t>P11</t>
        </is>
      </c>
      <c r="B15" s="9" t="inlineStr">
        <is>
          <t>cloud-waste-radar</t>
        </is>
      </c>
      <c r="C15" s="9" t="inlineStr">
        <is>
          <t>Cloud FinOps</t>
        </is>
      </c>
      <c r="D15" s="10" t="inlineStr">
        <is>
          <t>Find idle cloud resources and rightsizing opportunities for AWS/GCP/Azure startups</t>
        </is>
      </c>
      <c r="E15" s="10" t="inlineStr">
        <is>
          <t>Surveys classically cite ~30% cloud waste; startups overprovision without FinOps staff.</t>
        </is>
      </c>
      <c r="F15" s="11" t="n">
        <v>4</v>
      </c>
      <c r="G15" s="11" t="n">
        <v>5</v>
      </c>
      <c r="H15" s="11" t="n">
        <v>3</v>
      </c>
      <c r="I15" s="11" t="n">
        <v>3</v>
      </c>
      <c r="J15" s="11" t="n">
        <v>2</v>
      </c>
      <c r="K15" s="12">
        <f>F15+G15+H15+I15+J15</f>
        <v/>
      </c>
      <c r="L15" s="12">
        <f>IF(K15&gt;=20,"NOW",IF(K15&gt;=16,"NEXT",IF(K15&gt;=12,"LATER","PARK")))</f>
        <v/>
      </c>
      <c r="M15" s="13" t="inlineStr">
        <is>
          <t>PRIVATE-PAID</t>
        </is>
      </c>
      <c r="N15" s="10" t="inlineStr">
        <is>
          <t>SaaS + savings share</t>
        </is>
      </c>
      <c r="O15" s="9" t="inlineStr">
        <is>
          <t>Concept</t>
        </is>
      </c>
      <c r="P15" s="9" t="inlineStr">
        <is>
          <t>Research</t>
        </is>
      </c>
      <c r="Q15" s="9" t="inlineStr">
        <is>
          <t>Web,CLI,API</t>
        </is>
      </c>
      <c r="R15" s="9" t="inlineStr">
        <is>
          <t>cloud-waste-radar</t>
        </is>
      </c>
      <c r="S15" s="9" t="inlineStr">
        <is>
          <t>FinOps,cloud,AWS,cost</t>
        </is>
      </c>
      <c r="T15" s="10" t="inlineStr">
        <is>
          <t>Crowded but SMB pricing gap exists</t>
        </is>
      </c>
      <c r="U15" s="9" t="inlineStr">
        <is>
          <t>2026-07-11</t>
        </is>
      </c>
    </row>
    <row r="16" ht="48" customHeight="1">
      <c r="A16" s="14" t="inlineStr">
        <is>
          <t>P12</t>
        </is>
      </c>
      <c r="B16" s="14" t="inlineStr">
        <is>
          <t>dev-onboard-os</t>
        </is>
      </c>
      <c r="C16" s="14" t="inlineStr">
        <is>
          <t>Dev Productivity</t>
        </is>
      </c>
      <c r="D16" s="15" t="inlineStr">
        <is>
          <t>Opinionated new-hire engineering onboarding OS: env, access, docs, first PR in days not weeks</t>
        </is>
      </c>
      <c r="E16" s="15" t="inlineStr">
        <is>
          <t>Onboarding still tribal; new engineers lose 2–4 weeks to setup and tribal knowledge.</t>
        </is>
      </c>
      <c r="F16" s="11" t="n">
        <v>3</v>
      </c>
      <c r="G16" s="11" t="n">
        <v>4</v>
      </c>
      <c r="H16" s="11" t="n">
        <v>3</v>
      </c>
      <c r="I16" s="11" t="n">
        <v>3</v>
      </c>
      <c r="J16" s="11" t="n">
        <v>2</v>
      </c>
      <c r="K16" s="12">
        <f>F16+G16+H16+I16+J16</f>
        <v/>
      </c>
      <c r="L16" s="12">
        <f>IF(K16&gt;=20,"NOW",IF(K16&gt;=16,"NEXT",IF(K16&gt;=12,"LATER","PARK")))</f>
        <v/>
      </c>
      <c r="M16" s="16" t="inlineStr">
        <is>
          <t>PRIVATE-PAID</t>
        </is>
      </c>
      <c r="N16" s="15" t="inlineStr">
        <is>
          <t>Seat SaaS</t>
        </is>
      </c>
      <c r="O16" s="14" t="inlineStr">
        <is>
          <t>Concept</t>
        </is>
      </c>
      <c r="P16" s="14" t="inlineStr">
        <is>
          <t>Watch</t>
        </is>
      </c>
      <c r="Q16" s="14" t="inlineStr">
        <is>
          <t>Web,CLI</t>
        </is>
      </c>
      <c r="R16" s="14" t="inlineStr">
        <is>
          <t>dev-onboard-os</t>
        </is>
      </c>
      <c r="S16" s="14" t="inlineStr">
        <is>
          <t>onboarding,devtools,productivity</t>
        </is>
      </c>
      <c r="T16" s="15" t="inlineStr">
        <is>
          <t>Overlaps DX platforms; hard differentiation</t>
        </is>
      </c>
      <c r="U16" s="14" t="inlineStr">
        <is>
          <t>2026-07-11</t>
        </is>
      </c>
    </row>
    <row r="17" ht="48" customHeight="1">
      <c r="A17" s="9" t="inlineStr">
        <is>
          <t>P13</t>
        </is>
      </c>
      <c r="B17" s="9" t="inlineStr">
        <is>
          <t>sbom-lite</t>
        </is>
      </c>
      <c r="C17" s="9" t="inlineStr">
        <is>
          <t>Security / Supply Chain</t>
        </is>
      </c>
      <c r="D17" s="10" t="inlineStr">
        <is>
          <t>Zero-friction SBOM generate, diff, and policy gate for npm/PyPI/Go in CI</t>
        </is>
      </c>
      <c r="E17" s="10" t="inlineStr">
        <is>
          <t>Executive orders and enterprise buyers demand SBOMs; SMBs find tools heavy.</t>
        </is>
      </c>
      <c r="F17" s="11" t="n">
        <v>3</v>
      </c>
      <c r="G17" s="11" t="n">
        <v>5</v>
      </c>
      <c r="H17" s="11" t="n">
        <v>4</v>
      </c>
      <c r="I17" s="11" t="n">
        <v>3</v>
      </c>
      <c r="J17" s="11" t="n">
        <v>2</v>
      </c>
      <c r="K17" s="12">
        <f>F17+G17+H17+I17+J17</f>
        <v/>
      </c>
      <c r="L17" s="12">
        <f>IF(K17&gt;=20,"NOW",IF(K17&gt;=16,"NEXT",IF(K17&gt;=12,"LATER","PARK")))</f>
        <v/>
      </c>
      <c r="M17" s="13" t="inlineStr">
        <is>
          <t>OPEN-CORE</t>
        </is>
      </c>
      <c r="N17" s="10" t="inlineStr">
        <is>
          <t>Policy hub SaaS ($99+/mo)</t>
        </is>
      </c>
      <c r="O17" s="9" t="inlineStr">
        <is>
          <t>Concept</t>
        </is>
      </c>
      <c r="P17" s="9" t="inlineStr">
        <is>
          <t>Research</t>
        </is>
      </c>
      <c r="Q17" s="9" t="inlineStr">
        <is>
          <t>CLI,API</t>
        </is>
      </c>
      <c r="R17" s="9" t="inlineStr">
        <is>
          <t>sbom-lite</t>
        </is>
      </c>
      <c r="S17" s="9" t="inlineStr">
        <is>
          <t>SBOM,security,supply-chain,CI</t>
        </is>
      </c>
      <c r="T17" s="10" t="inlineStr">
        <is>
          <t>Syft/Grype ecosystem strong; need UX wedge</t>
        </is>
      </c>
      <c r="U17" s="9" t="inlineStr">
        <is>
          <t>2026-07-11</t>
        </is>
      </c>
    </row>
    <row r="18" ht="48" customHeight="1">
      <c r="A18" s="14" t="inlineStr">
        <is>
          <t>P14</t>
        </is>
      </c>
      <c r="B18" s="14" t="inlineStr">
        <is>
          <t>grc-evidence-autopilot</t>
        </is>
      </c>
      <c r="C18" s="14" t="inlineStr">
        <is>
          <t>Compliance / GRC</t>
        </is>
      </c>
      <c r="D18" s="15" t="inlineStr">
        <is>
          <t>Auto-collect compliance evidence (access logs, policies, screenshots) for SOC2/ISO startups</t>
        </is>
      </c>
      <c r="E18" s="15" t="inlineStr">
        <is>
          <t>SOC2 prep is spreadsheet hell; evidence collection is continuous toil.</t>
        </is>
      </c>
      <c r="F18" s="11" t="n">
        <v>4</v>
      </c>
      <c r="G18" s="11" t="n">
        <v>4</v>
      </c>
      <c r="H18" s="11" t="n">
        <v>2</v>
      </c>
      <c r="I18" s="11" t="n">
        <v>2</v>
      </c>
      <c r="J18" s="11" t="n">
        <v>3</v>
      </c>
      <c r="K18" s="12">
        <f>F18+G18+H18+I18+J18</f>
        <v/>
      </c>
      <c r="L18" s="12">
        <f>IF(K18&gt;=20,"NOW",IF(K18&gt;=16,"NEXT",IF(K18&gt;=12,"LATER","PARK")))</f>
        <v/>
      </c>
      <c r="M18" s="16" t="inlineStr">
        <is>
          <t>PRIVATE-PAID</t>
        </is>
      </c>
      <c r="N18" s="15" t="inlineStr">
        <is>
          <t>SaaS</t>
        </is>
      </c>
      <c r="O18" s="14" t="inlineStr">
        <is>
          <t>Concept</t>
        </is>
      </c>
      <c r="P18" s="14" t="inlineStr">
        <is>
          <t>Watch</t>
        </is>
      </c>
      <c r="Q18" s="14" t="inlineStr">
        <is>
          <t>Web,API</t>
        </is>
      </c>
      <c r="R18" s="14" t="inlineStr">
        <is>
          <t>grc-evidence-autopilot</t>
        </is>
      </c>
      <c r="S18" s="14" t="inlineStr">
        <is>
          <t>GRC,SOC2,compliance,SaaS</t>
        </is>
      </c>
      <c r="T18" s="15" t="inlineStr">
        <is>
          <t>Crowded (Vanta, Drata); India cost wedge possible</t>
        </is>
      </c>
      <c r="U18" s="14" t="inlineStr">
        <is>
          <t>2026-07-11</t>
        </is>
      </c>
    </row>
    <row r="19" ht="48" customHeight="1">
      <c r="A19" s="9" t="inlineStr">
        <is>
          <t>P15</t>
        </is>
      </c>
      <c r="B19" s="9" t="inlineStr">
        <is>
          <t>wa-ops-desk</t>
        </is>
      </c>
      <c r="C19" s="9" t="inlineStr">
        <is>
          <t>India SMB / WhatsApp Ops</t>
        </is>
      </c>
      <c r="D19" s="10" t="inlineStr">
        <is>
          <t>WhatsApp-first ops desk for Indian SMBs: orders, FAQs, staff routing, CRM lite</t>
        </is>
      </c>
      <c r="E19" s="10" t="inlineStr">
        <is>
          <t>Indian SMBs live on WhatsApp; Excel + personal phones do not scale multi-staff.</t>
        </is>
      </c>
      <c r="F19" s="11" t="n">
        <v>5</v>
      </c>
      <c r="G19" s="11" t="n">
        <v>4</v>
      </c>
      <c r="H19" s="11" t="n">
        <v>3</v>
      </c>
      <c r="I19" s="11" t="n">
        <v>4</v>
      </c>
      <c r="J19" s="11" t="n">
        <v>2</v>
      </c>
      <c r="K19" s="12">
        <f>F19+G19+H19+I19+J19</f>
        <v/>
      </c>
      <c r="L19" s="12">
        <f>IF(K19&gt;=20,"NOW",IF(K19&gt;=16,"NEXT",IF(K19&gt;=12,"LATER","PARK")))</f>
        <v/>
      </c>
      <c r="M19" s="13" t="inlineStr">
        <is>
          <t>PRIVATE-PAID</t>
        </is>
      </c>
      <c r="N19" s="10" t="inlineStr">
        <is>
          <t>INR SaaS tiers</t>
        </is>
      </c>
      <c r="O19" s="9" t="inlineStr">
        <is>
          <t>Concept</t>
        </is>
      </c>
      <c r="P19" s="9" t="inlineStr">
        <is>
          <t>Research</t>
        </is>
      </c>
      <c r="Q19" s="9" t="inlineStr">
        <is>
          <t>Web,Android,API</t>
        </is>
      </c>
      <c r="R19" s="9" t="inlineStr">
        <is>
          <t>wa-ops-desk</t>
        </is>
      </c>
      <c r="S19" s="9" t="inlineStr">
        <is>
          <t>India,SMB,WhatsApp,CRM</t>
        </is>
      </c>
      <c r="T19" s="10" t="inlineStr">
        <is>
          <t>Meta BSP dependency; regulatory/pricing constraints</t>
        </is>
      </c>
      <c r="U19" s="9" t="inlineStr">
        <is>
          <t>2026-07-11</t>
        </is>
      </c>
    </row>
    <row r="20" ht="48" customHeight="1">
      <c r="A20" s="14" t="inlineStr">
        <is>
          <t>P16</t>
        </is>
      </c>
      <c r="B20" s="14" t="inlineStr">
        <is>
          <t>gst-ops-copilot</t>
        </is>
      </c>
      <c r="C20" s="14" t="inlineStr">
        <is>
          <t>India SMB / Fintech</t>
        </is>
      </c>
      <c r="D20" s="15" t="inlineStr">
        <is>
          <t>GST filing prep copilot: invoice hygiene, GSTR mismatch alerts, CA handoff packs</t>
        </is>
      </c>
      <c r="E20" s="15" t="inlineStr">
        <is>
          <t>SMEs struggle with invoice data quality and GSTR mismatches before CA filing.</t>
        </is>
      </c>
      <c r="F20" s="11" t="n">
        <v>4</v>
      </c>
      <c r="G20" s="11" t="n">
        <v>4</v>
      </c>
      <c r="H20" s="11" t="n">
        <v>2</v>
      </c>
      <c r="I20" s="11" t="n">
        <v>3</v>
      </c>
      <c r="J20" s="11" t="n">
        <v>3</v>
      </c>
      <c r="K20" s="12">
        <f>F20+G20+H20+I20+J20</f>
        <v/>
      </c>
      <c r="L20" s="12">
        <f>IF(K20&gt;=20,"NOW",IF(K20&gt;=16,"NEXT",IF(K20&gt;=12,"LATER","PARK")))</f>
        <v/>
      </c>
      <c r="M20" s="16" t="inlineStr">
        <is>
          <t>PRIVATE-PAID</t>
        </is>
      </c>
      <c r="N20" s="15" t="inlineStr">
        <is>
          <t>SaaS + CA white-label</t>
        </is>
      </c>
      <c r="O20" s="14" t="inlineStr">
        <is>
          <t>Concept</t>
        </is>
      </c>
      <c r="P20" s="14" t="inlineStr">
        <is>
          <t>Watch</t>
        </is>
      </c>
      <c r="Q20" s="14" t="inlineStr">
        <is>
          <t>Web,API</t>
        </is>
      </c>
      <c r="R20" s="14" t="inlineStr">
        <is>
          <t>gst-ops-copilot</t>
        </is>
      </c>
      <c r="S20" s="14" t="inlineStr">
        <is>
          <t>India,GST,fintech,SMB,compliance</t>
        </is>
      </c>
      <c r="T20" s="15" t="inlineStr">
        <is>
          <t>Heavy domain + API/partner dependencies</t>
        </is>
      </c>
      <c r="U20" s="14" t="inlineStr">
        <is>
          <t>2026-07-11</t>
        </is>
      </c>
    </row>
    <row r="21" ht="48" customHeight="1">
      <c r="A21" s="9" t="inlineStr">
        <is>
          <t>P17</t>
        </is>
      </c>
      <c r="B21" s="9" t="inlineStr">
        <is>
          <t>appt-book-india</t>
        </is>
      </c>
      <c r="C21" s="9" t="inlineStr">
        <is>
          <t>India SMB / Appointments</t>
        </is>
      </c>
      <c r="D21" s="10" t="inlineStr">
        <is>
          <t>Lightweight appointment booking with WhatsApp reminders for salons, tutors, clinics lite</t>
        </is>
      </c>
      <c r="E21" s="10" t="inlineStr">
        <is>
          <t>No-shows and phone tag; Calendly-class tools not localized/priced for Bharat SMB.</t>
        </is>
      </c>
      <c r="F21" s="11" t="n">
        <v>4</v>
      </c>
      <c r="G21" s="11" t="n">
        <v>4</v>
      </c>
      <c r="H21" s="11" t="n">
        <v>4</v>
      </c>
      <c r="I21" s="11" t="n">
        <v>4</v>
      </c>
      <c r="J21" s="11" t="n">
        <v>2</v>
      </c>
      <c r="K21" s="12">
        <f>F21+G21+H21+I21+J21</f>
        <v/>
      </c>
      <c r="L21" s="12">
        <f>IF(K21&gt;=20,"NOW",IF(K21&gt;=16,"NEXT",IF(K21&gt;=12,"LATER","PARK")))</f>
        <v/>
      </c>
      <c r="M21" s="13" t="inlineStr">
        <is>
          <t>PRIVATE-PAID</t>
        </is>
      </c>
      <c r="N21" s="10" t="inlineStr">
        <is>
          <t>INR SaaS</t>
        </is>
      </c>
      <c r="O21" s="9" t="inlineStr">
        <is>
          <t>Concept</t>
        </is>
      </c>
      <c r="P21" s="9" t="inlineStr">
        <is>
          <t>Research</t>
        </is>
      </c>
      <c r="Q21" s="9" t="inlineStr">
        <is>
          <t>Web,Android,API</t>
        </is>
      </c>
      <c r="R21" s="9" t="inlineStr">
        <is>
          <t>appt-book-india</t>
        </is>
      </c>
      <c r="S21" s="9" t="inlineStr">
        <is>
          <t>India,SMB,booking,WhatsApp</t>
        </is>
      </c>
      <c r="T21" s="10" t="inlineStr">
        <is>
          <t>Can share stack with clinic/WA products</t>
        </is>
      </c>
      <c r="U21" s="9" t="inlineStr">
        <is>
          <t>2026-07-11</t>
        </is>
      </c>
    </row>
    <row r="22" ht="48" customHeight="1">
      <c r="A22" s="14" t="inlineStr">
        <is>
          <t>P18</t>
        </is>
      </c>
      <c r="B22" s="14" t="inlineStr">
        <is>
          <t>clinic-admin-lite</t>
        </is>
      </c>
      <c r="C22" s="14" t="inlineStr">
        <is>
          <t>India SMB / Health Ops</t>
        </is>
      </c>
      <c r="D22" s="15" t="inlineStr">
        <is>
          <t>Clinic admin lite: appointments, patient ledger, Rx print, WhatsApp follow-ups for small practices</t>
        </is>
      </c>
      <c r="E22" s="15" t="inlineStr">
        <is>
          <t>Small Indian clinics still paper/Excel; full HMS is overkill and expensive.</t>
        </is>
      </c>
      <c r="F22" s="11" t="n">
        <v>4</v>
      </c>
      <c r="G22" s="11" t="n">
        <v>4</v>
      </c>
      <c r="H22" s="11" t="n">
        <v>3</v>
      </c>
      <c r="I22" s="11" t="n">
        <v>3</v>
      </c>
      <c r="J22" s="11" t="n">
        <v>2</v>
      </c>
      <c r="K22" s="12">
        <f>F22+G22+H22+I22+J22</f>
        <v/>
      </c>
      <c r="L22" s="12">
        <f>IF(K22&gt;=20,"NOW",IF(K22&gt;=16,"NEXT",IF(K22&gt;=12,"LATER","PARK")))</f>
        <v/>
      </c>
      <c r="M22" s="16" t="inlineStr">
        <is>
          <t>PRIVATE-PAID</t>
        </is>
      </c>
      <c r="N22" s="15" t="inlineStr">
        <is>
          <t>SaaS</t>
        </is>
      </c>
      <c r="O22" s="14" t="inlineStr">
        <is>
          <t>Concept</t>
        </is>
      </c>
      <c r="P22" s="14" t="inlineStr">
        <is>
          <t>Research</t>
        </is>
      </c>
      <c r="Q22" s="14" t="inlineStr">
        <is>
          <t>Web,Android</t>
        </is>
      </c>
      <c r="R22" s="14" t="inlineStr">
        <is>
          <t>clinic-admin-lite</t>
        </is>
      </c>
      <c r="S22" s="14" t="inlineStr">
        <is>
          <t>health,India,SMB,clinic</t>
        </is>
      </c>
      <c r="T22" s="15" t="inlineStr">
        <is>
          <t>Health data sensitivity; start non-diagnostic admin only</t>
        </is>
      </c>
      <c r="U22" s="14" t="inlineStr">
        <is>
          <t>2026-07-11</t>
        </is>
      </c>
    </row>
    <row r="23" ht="48" customHeight="1">
      <c r="A23" s="9" t="inlineStr">
        <is>
          <t>P19</t>
        </is>
      </c>
      <c r="B23" s="9" t="inlineStr">
        <is>
          <t>learn-loop</t>
        </is>
      </c>
      <c r="C23" s="9" t="inlineStr">
        <is>
          <t>Education</t>
        </is>
      </c>
      <c r="D23" s="10" t="inlineStr">
        <is>
          <t>Spaced-repetition + cohort homework OS for coaching institutes and online tutors</t>
        </is>
      </c>
      <c r="E23" s="10" t="inlineStr">
        <is>
          <t>Tutors lack simple tool for assignments, revision loops, and parent updates.</t>
        </is>
      </c>
      <c r="F23" s="11" t="n">
        <v>3</v>
      </c>
      <c r="G23" s="11" t="n">
        <v>4</v>
      </c>
      <c r="H23" s="11" t="n">
        <v>3</v>
      </c>
      <c r="I23" s="11" t="n">
        <v>3</v>
      </c>
      <c r="J23" s="11" t="n">
        <v>2</v>
      </c>
      <c r="K23" s="12">
        <f>F23+G23+H23+I23+J23</f>
        <v/>
      </c>
      <c r="L23" s="12">
        <f>IF(K23&gt;=20,"NOW",IF(K23&gt;=16,"NEXT",IF(K23&gt;=12,"LATER","PARK")))</f>
        <v/>
      </c>
      <c r="M23" s="13" t="inlineStr">
        <is>
          <t>PRIVATE-PAID</t>
        </is>
      </c>
      <c r="N23" s="10" t="inlineStr">
        <is>
          <t>SaaS</t>
        </is>
      </c>
      <c r="O23" s="9" t="inlineStr">
        <is>
          <t>Concept</t>
        </is>
      </c>
      <c r="P23" s="9" t="inlineStr">
        <is>
          <t>Watch</t>
        </is>
      </c>
      <c r="Q23" s="9" t="inlineStr">
        <is>
          <t>Web,Android,iOS</t>
        </is>
      </c>
      <c r="R23" s="9" t="inlineStr">
        <is>
          <t>learn-loop</t>
        </is>
      </c>
      <c r="S23" s="9" t="inlineStr">
        <is>
          <t>edtech,tutors,India,SRS</t>
        </is>
      </c>
      <c r="T23" s="10" t="inlineStr">
        <is>
          <t>Edtech crowded; niche tutor OS possible</t>
        </is>
      </c>
      <c r="U23" s="9" t="inlineStr">
        <is>
          <t>2026-07-11</t>
        </is>
      </c>
    </row>
    <row r="24" ht="48" customHeight="1">
      <c r="A24" s="14" t="inlineStr">
        <is>
          <t>P20</t>
        </is>
      </c>
      <c r="B24" s="14" t="inlineStr">
        <is>
          <t>cyber-smb-shield</t>
        </is>
      </c>
      <c r="C24" s="14" t="inlineStr">
        <is>
          <t>Cyber / SMB</t>
        </is>
      </c>
      <c r="D24" s="15" t="inlineStr">
        <is>
          <t>Managed cybersecurity starter pack for SMBs: DNS filter, phishing drills, backup check, score</t>
        </is>
      </c>
      <c r="E24" s="15" t="inlineStr">
        <is>
          <t>SMBs are ransomware targets but cannot staff a SOC.</t>
        </is>
      </c>
      <c r="F24" s="11" t="n">
        <v>4</v>
      </c>
      <c r="G24" s="11" t="n">
        <v>3</v>
      </c>
      <c r="H24" s="11" t="n">
        <v>2</v>
      </c>
      <c r="I24" s="11" t="n">
        <v>2</v>
      </c>
      <c r="J24" s="11" t="n">
        <v>2</v>
      </c>
      <c r="K24" s="12">
        <f>F24+G24+H24+I24+J24</f>
        <v/>
      </c>
      <c r="L24" s="12">
        <f>IF(K24&gt;=20,"NOW",IF(K24&gt;=16,"NEXT",IF(K24&gt;=12,"LATER","PARK")))</f>
        <v/>
      </c>
      <c r="M24" s="16" t="inlineStr">
        <is>
          <t>PRIVATE-PAID</t>
        </is>
      </c>
      <c r="N24" s="15" t="inlineStr">
        <is>
          <t>SaaS + MSSP channel</t>
        </is>
      </c>
      <c r="O24" s="14" t="inlineStr">
        <is>
          <t>Concept</t>
        </is>
      </c>
      <c r="P24" s="14" t="inlineStr">
        <is>
          <t>Watch</t>
        </is>
      </c>
      <c r="Q24" s="14" t="inlineStr">
        <is>
          <t>Web,API</t>
        </is>
      </c>
      <c r="R24" s="14" t="inlineStr">
        <is>
          <t>cyber-smb-shield</t>
        </is>
      </c>
      <c r="S24" s="14" t="inlineStr">
        <is>
          <t>cyber,SMB,MSSP,security</t>
        </is>
      </c>
      <c r="T24" s="15" t="inlineStr">
        <is>
          <t>Services-heavy; partner with MSSPs</t>
        </is>
      </c>
      <c r="U24" s="14" t="inlineStr">
        <is>
          <t>2026-07-11</t>
        </is>
      </c>
    </row>
    <row r="25" ht="48" customHeight="1">
      <c r="A25" s="9" t="inlineStr">
        <is>
          <t>P21</t>
        </is>
      </c>
      <c r="B25" s="9" t="inlineStr">
        <is>
          <t>data-quality-guard</t>
        </is>
      </c>
      <c r="C25" s="9" t="inlineStr">
        <is>
          <t>Data Quality</t>
        </is>
      </c>
      <c r="D25" s="10" t="inlineStr">
        <is>
          <t>Pipeline data quality checks as code with anomaly alerts for analytics teams</t>
        </is>
      </c>
      <c r="E25" s="10" t="inlineStr">
        <is>
          <t>Silent data breakage destroys dashboards; Great Expectations-class tools feel heavy.</t>
        </is>
      </c>
      <c r="F25" s="11" t="n">
        <v>3</v>
      </c>
      <c r="G25" s="11" t="n">
        <v>5</v>
      </c>
      <c r="H25" s="11" t="n">
        <v>3</v>
      </c>
      <c r="I25" s="11" t="n">
        <v>2</v>
      </c>
      <c r="J25" s="11" t="n">
        <v>2</v>
      </c>
      <c r="K25" s="12">
        <f>F25+G25+H25+I25+J25</f>
        <v/>
      </c>
      <c r="L25" s="12">
        <f>IF(K25&gt;=20,"NOW",IF(K25&gt;=16,"NEXT",IF(K25&gt;=12,"LATER","PARK")))</f>
        <v/>
      </c>
      <c r="M25" s="13" t="inlineStr">
        <is>
          <t>PRIVATE-PAID</t>
        </is>
      </c>
      <c r="N25" s="10" t="inlineStr">
        <is>
          <t>SaaS</t>
        </is>
      </c>
      <c r="O25" s="9" t="inlineStr">
        <is>
          <t>Concept</t>
        </is>
      </c>
      <c r="P25" s="9" t="inlineStr">
        <is>
          <t>Watch</t>
        </is>
      </c>
      <c r="Q25" s="9" t="inlineStr">
        <is>
          <t>CLI,API,Web</t>
        </is>
      </c>
      <c r="R25" s="9" t="inlineStr">
        <is>
          <t>data-quality-guard</t>
        </is>
      </c>
      <c r="S25" s="9" t="inlineStr">
        <is>
          <t>data,quality,analytics,observability</t>
        </is>
      </c>
      <c r="T25" s="10" t="inlineStr">
        <is>
          <t>Crowded (GE, Monte Carlo, Soda)</t>
        </is>
      </c>
      <c r="U25" s="9" t="inlineStr">
        <is>
          <t>2026-07-11</t>
        </is>
      </c>
    </row>
    <row r="26" ht="48" customHeight="1">
      <c r="A26" s="14" t="inlineStr">
        <is>
          <t>P22</t>
        </is>
      </c>
      <c r="B26" s="14" t="inlineStr">
        <is>
          <t>care-companion</t>
        </is>
      </c>
      <c r="C26" s="14" t="inlineStr">
        <is>
          <t>Consumer Care</t>
        </is>
      </c>
      <c r="D26" s="15" t="inlineStr">
        <is>
          <t>Family care coordination app: meds, appointments, shared notes for elders</t>
        </is>
      </c>
      <c r="E26" s="15" t="inlineStr">
        <is>
          <t>Adult children coordinate elder care over chaotic WhatsApp groups.</t>
        </is>
      </c>
      <c r="F26" s="11" t="n">
        <v>3</v>
      </c>
      <c r="G26" s="11" t="n">
        <v>3</v>
      </c>
      <c r="H26" s="11" t="n">
        <v>3</v>
      </c>
      <c r="I26" s="11" t="n">
        <v>2</v>
      </c>
      <c r="J26" s="11" t="n">
        <v>2</v>
      </c>
      <c r="K26" s="12">
        <f>F26+G26+H26+I26+J26</f>
        <v/>
      </c>
      <c r="L26" s="12">
        <f>IF(K26&gt;=20,"NOW",IF(K26&gt;=16,"NEXT",IF(K26&gt;=12,"LATER","PARK")))</f>
        <v/>
      </c>
      <c r="M26" s="16" t="inlineStr">
        <is>
          <t>PRIVATE-PAID</t>
        </is>
      </c>
      <c r="N26" s="15" t="inlineStr">
        <is>
          <t>Consumer subscription</t>
        </is>
      </c>
      <c r="O26" s="14" t="inlineStr">
        <is>
          <t>Concept</t>
        </is>
      </c>
      <c r="P26" s="14" t="inlineStr">
        <is>
          <t>Watch</t>
        </is>
      </c>
      <c r="Q26" s="14" t="inlineStr">
        <is>
          <t>iOS,Android,Web</t>
        </is>
      </c>
      <c r="R26" s="14" t="inlineStr">
        <is>
          <t>care-companion</t>
        </is>
      </c>
      <c r="S26" s="14" t="inlineStr">
        <is>
          <t>consumer,health,family,care</t>
        </is>
      </c>
      <c r="T26" s="15" t="inlineStr">
        <is>
          <t>Emotional domain; trust &amp; retention hard</t>
        </is>
      </c>
      <c r="U26" s="14" t="inlineStr">
        <is>
          <t>2026-07-11</t>
        </is>
      </c>
    </row>
    <row r="27" ht="48" customHeight="1">
      <c r="A27" s="9" t="inlineStr">
        <is>
          <t>P23</t>
        </is>
      </c>
      <c r="B27" s="9" t="inlineStr">
        <is>
          <t>personal-crm</t>
        </is>
      </c>
      <c r="C27" s="9" t="inlineStr">
        <is>
          <t>Personal CRM</t>
        </is>
      </c>
      <c r="D27" s="10" t="inlineStr">
        <is>
          <t>Privacy-first personal CRM for founders: follow-ups, context notes, birthday nudges</t>
        </is>
      </c>
      <c r="E27" s="10" t="inlineStr">
        <is>
          <t>LinkedIn is not a relationship system; people forget follow-ups.</t>
        </is>
      </c>
      <c r="F27" s="11" t="n">
        <v>3</v>
      </c>
      <c r="G27" s="11" t="n">
        <v>4</v>
      </c>
      <c r="H27" s="11" t="n">
        <v>4</v>
      </c>
      <c r="I27" s="11" t="n">
        <v>3</v>
      </c>
      <c r="J27" s="11" t="n">
        <v>2</v>
      </c>
      <c r="K27" s="12">
        <f>F27+G27+H27+I27+J27</f>
        <v/>
      </c>
      <c r="L27" s="12">
        <f>IF(K27&gt;=20,"NOW",IF(K27&gt;=16,"NEXT",IF(K27&gt;=12,"LATER","PARK")))</f>
        <v/>
      </c>
      <c r="M27" s="13" t="inlineStr">
        <is>
          <t>PRIVATE-PAID</t>
        </is>
      </c>
      <c r="N27" s="10" t="inlineStr">
        <is>
          <t>Consumer SaaS</t>
        </is>
      </c>
      <c r="O27" s="9" t="inlineStr">
        <is>
          <t>Concept</t>
        </is>
      </c>
      <c r="P27" s="9" t="inlineStr">
        <is>
          <t>Research</t>
        </is>
      </c>
      <c r="Q27" s="9" t="inlineStr">
        <is>
          <t>Web,iOS,Desktop</t>
        </is>
      </c>
      <c r="R27" s="9" t="inlineStr">
        <is>
          <t>personal-crm</t>
        </is>
      </c>
      <c r="S27" s="9" t="inlineStr">
        <is>
          <t>CRM,productivity,personal,privacy</t>
        </is>
      </c>
      <c r="T27" s="10" t="inlineStr">
        <is>
          <t>Many indie apps; differentiation via privacy + AI summarize</t>
        </is>
      </c>
      <c r="U27" s="9" t="inlineStr">
        <is>
          <t>2026-07-11</t>
        </is>
      </c>
    </row>
    <row r="28" ht="48" customHeight="1">
      <c r="A28" s="14" t="inlineStr">
        <is>
          <t>P24</t>
        </is>
      </c>
      <c r="B28" s="14" t="inlineStr">
        <is>
          <t>creator-ops</t>
        </is>
      </c>
      <c r="C28" s="14" t="inlineStr">
        <is>
          <t>Creator Ops</t>
        </is>
      </c>
      <c r="D28" s="15" t="inlineStr">
        <is>
          <t>Ops OS for mid-tier creators: content calendar, sponsor CRM, asset vault, analytics rollup</t>
        </is>
      </c>
      <c r="E28" s="15" t="inlineStr">
        <is>
          <t>Creators juggle Notion + Sheets + Drive + native analytics without an ops spine.</t>
        </is>
      </c>
      <c r="F28" s="11" t="n">
        <v>3</v>
      </c>
      <c r="G28" s="11" t="n">
        <v>4</v>
      </c>
      <c r="H28" s="11" t="n">
        <v>3</v>
      </c>
      <c r="I28" s="11" t="n">
        <v>3</v>
      </c>
      <c r="J28" s="11" t="n">
        <v>2</v>
      </c>
      <c r="K28" s="12">
        <f>F28+G28+H28+I28+J28</f>
        <v/>
      </c>
      <c r="L28" s="12">
        <f>IF(K28&gt;=20,"NOW",IF(K28&gt;=16,"NEXT",IF(K28&gt;=12,"LATER","PARK")))</f>
        <v/>
      </c>
      <c r="M28" s="16" t="inlineStr">
        <is>
          <t>PRIVATE-PAID</t>
        </is>
      </c>
      <c r="N28" s="15" t="inlineStr">
        <is>
          <t>SaaS</t>
        </is>
      </c>
      <c r="O28" s="14" t="inlineStr">
        <is>
          <t>Concept</t>
        </is>
      </c>
      <c r="P28" s="14" t="inlineStr">
        <is>
          <t>Watch</t>
        </is>
      </c>
      <c r="Q28" s="14" t="inlineStr">
        <is>
          <t>Web</t>
        </is>
      </c>
      <c r="R28" s="14" t="inlineStr">
        <is>
          <t>creator-ops</t>
        </is>
      </c>
      <c r="S28" s="14" t="inlineStr">
        <is>
          <t>creator,ops,media,SaaS</t>
        </is>
      </c>
      <c r="T28" s="15" t="inlineStr">
        <is>
          <t>Crowded creator tooling</t>
        </is>
      </c>
      <c r="U28" s="14" t="inlineStr">
        <is>
          <t>2026-07-11</t>
        </is>
      </c>
    </row>
    <row r="29" ht="48" customHeight="1">
      <c r="A29" s="9" t="inlineStr">
        <is>
          <t>P25</t>
        </is>
      </c>
      <c r="B29" s="9" t="inlineStr">
        <is>
          <t>climate-ops-meter</t>
        </is>
      </c>
      <c r="C29" s="9" t="inlineStr">
        <is>
          <t>Climate / ESG</t>
        </is>
      </c>
      <c r="D29" s="10" t="inlineStr">
        <is>
          <t>Lightweight Scope 1–3 carbon estimate and supplier survey tool for mid-market exporters</t>
        </is>
      </c>
      <c r="E29" s="10" t="inlineStr">
        <is>
          <t>Exporters face ESG questionnaires without enterprise sustainability teams.</t>
        </is>
      </c>
      <c r="F29" s="11" t="n">
        <v>3</v>
      </c>
      <c r="G29" s="11" t="n">
        <v>4</v>
      </c>
      <c r="H29" s="11" t="n">
        <v>2</v>
      </c>
      <c r="I29" s="11" t="n">
        <v>2</v>
      </c>
      <c r="J29" s="11" t="n">
        <v>2</v>
      </c>
      <c r="K29" s="12">
        <f>F29+G29+H29+I29+J29</f>
        <v/>
      </c>
      <c r="L29" s="12">
        <f>IF(K29&gt;=20,"NOW",IF(K29&gt;=16,"NEXT",IF(K29&gt;=12,"LATER","PARK")))</f>
        <v/>
      </c>
      <c r="M29" s="13" t="inlineStr">
        <is>
          <t>PRIVATE-PAID</t>
        </is>
      </c>
      <c r="N29" s="10" t="inlineStr">
        <is>
          <t>SaaS + services</t>
        </is>
      </c>
      <c r="O29" s="9" t="inlineStr">
        <is>
          <t>Concept</t>
        </is>
      </c>
      <c r="P29" s="9" t="inlineStr">
        <is>
          <t>Watch</t>
        </is>
      </c>
      <c r="Q29" s="9" t="inlineStr">
        <is>
          <t>Web</t>
        </is>
      </c>
      <c r="R29" s="9" t="inlineStr">
        <is>
          <t>climate-ops-meter</t>
        </is>
      </c>
      <c r="S29" s="9" t="inlineStr">
        <is>
          <t>climate,ESG,carbon,compliance</t>
        </is>
      </c>
      <c r="T29" s="10" t="inlineStr">
        <is>
          <t>Methodology trust critical</t>
        </is>
      </c>
      <c r="U29" s="9" t="inlineStr">
        <is>
          <t>2026-07-11</t>
        </is>
      </c>
    </row>
    <row r="30" ht="48" customHeight="1">
      <c r="A30" s="14" t="inlineStr">
        <is>
          <t>P26</t>
        </is>
      </c>
      <c r="B30" s="14" t="inlineStr">
        <is>
          <t>supply-chain-visibility-lite</t>
        </is>
      </c>
      <c r="C30" s="14" t="inlineStr">
        <is>
          <t>Supply Chain</t>
        </is>
      </c>
      <c r="D30" s="15" t="inlineStr">
        <is>
          <t>Lite multi-tier supplier status &amp; risk notes for SMEs without SAP budgets</t>
        </is>
      </c>
      <c r="E30" s="15" t="inlineStr">
        <is>
          <t>SMEs lack visibility beyond tier-1 suppliers; enterprise SC tools are overkill.</t>
        </is>
      </c>
      <c r="F30" s="11" t="n">
        <v>3</v>
      </c>
      <c r="G30" s="11" t="n">
        <v>3</v>
      </c>
      <c r="H30" s="11" t="n">
        <v>2</v>
      </c>
      <c r="I30" s="11" t="n">
        <v>2</v>
      </c>
      <c r="J30" s="11" t="n">
        <v>2</v>
      </c>
      <c r="K30" s="12">
        <f>F30+G30+H30+I30+J30</f>
        <v/>
      </c>
      <c r="L30" s="12">
        <f>IF(K30&gt;=20,"NOW",IF(K30&gt;=16,"NEXT",IF(K30&gt;=12,"LATER","PARK")))</f>
        <v/>
      </c>
      <c r="M30" s="16" t="inlineStr">
        <is>
          <t>PRIVATE-PAID</t>
        </is>
      </c>
      <c r="N30" s="15" t="inlineStr">
        <is>
          <t>SaaS</t>
        </is>
      </c>
      <c r="O30" s="14" t="inlineStr">
        <is>
          <t>Concept</t>
        </is>
      </c>
      <c r="P30" s="14" t="inlineStr">
        <is>
          <t>Watch</t>
        </is>
      </c>
      <c r="Q30" s="14" t="inlineStr">
        <is>
          <t>Web,API</t>
        </is>
      </c>
      <c r="R30" s="14" t="inlineStr">
        <is>
          <t>sc-visibility-lite</t>
        </is>
      </c>
      <c r="S30" s="14" t="inlineStr">
        <is>
          <t>supply-chain,SME,risk</t>
        </is>
      </c>
      <c r="T30" s="15" t="inlineStr">
        <is>
          <t>Data acquisition is the product</t>
        </is>
      </c>
      <c r="U30" s="14" t="inlineStr">
        <is>
          <t>2026-07-11</t>
        </is>
      </c>
    </row>
    <row r="31" ht="48" customHeight="1">
      <c r="A31" s="9" t="inlineStr">
        <is>
          <t>P27</t>
        </is>
      </c>
      <c r="B31" s="9" t="inlineStr">
        <is>
          <t>focus-forge</t>
        </is>
      </c>
      <c r="C31" s="9" t="inlineStr">
        <is>
          <t>Focus / Productivity Apps</t>
        </is>
      </c>
      <c r="D31" s="10" t="inlineStr">
        <is>
          <t>Deep-work OS: site blocker + session goals + AI weekly review for knowledge workers</t>
        </is>
      </c>
      <c r="E31" s="10" t="inlineStr">
        <is>
          <t>Attention fragmentation; existing blockers lack outcome review loops.</t>
        </is>
      </c>
      <c r="F31" s="11" t="n">
        <v>3</v>
      </c>
      <c r="G31" s="11" t="n">
        <v>4</v>
      </c>
      <c r="H31" s="11" t="n">
        <v>4</v>
      </c>
      <c r="I31" s="11" t="n">
        <v>3</v>
      </c>
      <c r="J31" s="11" t="n">
        <v>1</v>
      </c>
      <c r="K31" s="12">
        <f>F31+G31+H31+I31+J31</f>
        <v/>
      </c>
      <c r="L31" s="12">
        <f>IF(K31&gt;=20,"NOW",IF(K31&gt;=16,"NEXT",IF(K31&gt;=12,"LATER","PARK")))</f>
        <v/>
      </c>
      <c r="M31" s="13" t="inlineStr">
        <is>
          <t>PRIVATE-PAID</t>
        </is>
      </c>
      <c r="N31" s="10" t="inlineStr">
        <is>
          <t>Consumer subscription</t>
        </is>
      </c>
      <c r="O31" s="9" t="inlineStr">
        <is>
          <t>Concept</t>
        </is>
      </c>
      <c r="P31" s="9" t="inlineStr">
        <is>
          <t>Watch</t>
        </is>
      </c>
      <c r="Q31" s="9" t="inlineStr">
        <is>
          <t>Desktop,Extension,iOS</t>
        </is>
      </c>
      <c r="R31" s="9" t="inlineStr">
        <is>
          <t>focus-forge</t>
        </is>
      </c>
      <c r="S31" s="9" t="inlineStr">
        <is>
          <t>productivity,focus,consumer</t>
        </is>
      </c>
      <c r="T31" s="10" t="inlineStr">
        <is>
          <t>App store graveyard risk; lifestyle product</t>
        </is>
      </c>
      <c r="U31" s="9" t="inlineStr">
        <is>
          <t>2026-07-11</t>
        </is>
      </c>
    </row>
    <row r="32" ht="48" customHeight="1">
      <c r="A32" s="14" t="inlineStr">
        <is>
          <t>P28</t>
        </is>
      </c>
      <c r="B32" s="14" t="inlineStr">
        <is>
          <t>api-contract-sentinel</t>
        </is>
      </c>
      <c r="C32" s="14" t="inlineStr">
        <is>
          <t>Dev Productivity / Quality</t>
        </is>
      </c>
      <c r="D32" s="15" t="inlineStr">
        <is>
          <t>Detect breaking API contract changes in PRs with consumer impact maps</t>
        </is>
      </c>
      <c r="E32" s="15" t="inlineStr">
        <is>
          <t>Microservices break silent consumers; OpenAPI drift is common.</t>
        </is>
      </c>
      <c r="F32" s="11" t="n">
        <v>3</v>
      </c>
      <c r="G32" s="11" t="n">
        <v>5</v>
      </c>
      <c r="H32" s="11" t="n">
        <v>3</v>
      </c>
      <c r="I32" s="11" t="n">
        <v>3</v>
      </c>
      <c r="J32" s="11" t="n">
        <v>2</v>
      </c>
      <c r="K32" s="12">
        <f>F32+G32+H32+I32+J32</f>
        <v/>
      </c>
      <c r="L32" s="12">
        <f>IF(K32&gt;=20,"NOW",IF(K32&gt;=16,"NEXT",IF(K32&gt;=12,"LATER","PARK")))</f>
        <v/>
      </c>
      <c r="M32" s="16" t="inlineStr">
        <is>
          <t>OPEN-CORE</t>
        </is>
      </c>
      <c r="N32" s="15" t="inlineStr">
        <is>
          <t>Org tier ($99+/mo)</t>
        </is>
      </c>
      <c r="O32" s="14" t="inlineStr">
        <is>
          <t>Concept</t>
        </is>
      </c>
      <c r="P32" s="14" t="inlineStr">
        <is>
          <t>Watch</t>
        </is>
      </c>
      <c r="Q32" s="14" t="inlineStr">
        <is>
          <t>CLI,API,Extension</t>
        </is>
      </c>
      <c r="R32" s="14" t="inlineStr">
        <is>
          <t>api-contract-sentinel</t>
        </is>
      </c>
      <c r="S32" s="14" t="inlineStr">
        <is>
          <t>API,OpenAPI,CI,devtools</t>
        </is>
      </c>
      <c r="T32" s="15" t="inlineStr">
        <is>
          <t>Overlaps Optic, SwaggerHub, Spectral</t>
        </is>
      </c>
      <c r="U32" s="14" t="inlineStr">
        <is>
          <t>2026-07-11</t>
        </is>
      </c>
    </row>
    <row r="33" ht="48" customHeight="1">
      <c r="A33" s="9" t="inlineStr">
        <is>
          <t>P29</t>
        </is>
      </c>
      <c r="B33" s="9" t="inlineStr">
        <is>
          <t>agent-skill-scan</t>
        </is>
      </c>
      <c r="C33" s="9" t="inlineStr">
        <is>
          <t>AI Tooling / Security</t>
        </is>
      </c>
      <c r="D33" s="10" t="inlineStr">
        <is>
          <t>One-command security audit of installed agent skills, MCP servers, and rules files (prompt injection, malicious payloads, secret exfil)</t>
        </is>
      </c>
      <c r="E33" s="10" t="inlineStr">
        <is>
          <t>Marketplace agent skills/MCP servers ship malicious payloads; audits found 36.8% of skills flawed and 71% of MCP servers graded F.</t>
        </is>
      </c>
      <c r="F33" s="11" t="n">
        <v>5</v>
      </c>
      <c r="G33" s="11" t="n">
        <v>5</v>
      </c>
      <c r="H33" s="11" t="n">
        <v>5</v>
      </c>
      <c r="I33" s="11" t="n">
        <v>5</v>
      </c>
      <c r="J33" s="11" t="n">
        <v>3</v>
      </c>
      <c r="K33" s="12">
        <f>F33+G33+H33+I33+J33</f>
        <v/>
      </c>
      <c r="L33" s="12">
        <f>IF(K33&gt;=20,"NOW",IF(K33&gt;=16,"NEXT",IF(K33&gt;=12,"LATER","PARK")))</f>
        <v/>
      </c>
      <c r="M33" s="13" t="inlineStr">
        <is>
          <t>OPEN-CORE</t>
        </is>
      </c>
      <c r="N33" s="10" t="inlineStr">
        <is>
          <t>Paid GitHub Action + org policy ($15–40/dev/mo)</t>
        </is>
      </c>
      <c r="O33" s="9" t="inlineStr">
        <is>
          <t>Concept</t>
        </is>
      </c>
      <c r="P33" s="9" t="inlineStr">
        <is>
          <t>Design / build next</t>
        </is>
      </c>
      <c r="Q33" s="9" t="inlineStr">
        <is>
          <t>CLI,API</t>
        </is>
      </c>
      <c r="R33" s="9" t="inlineStr">
        <is>
          <t>agent-skill-scan</t>
        </is>
      </c>
      <c r="S33" s="9" t="inlineStr">
        <is>
          <t>AI,security,MCP,skills,supply-chain,suite</t>
        </is>
      </c>
      <c r="T33" s="10" t="inlineStr">
        <is>
          <t>Hygiene suite #4 (secure); rides ToxicSkills wave; reuses setup-doctor config parsers</t>
        </is>
      </c>
      <c r="U33" s="9" t="inlineStr">
        <is>
          <t>2026-07-11</t>
        </is>
      </c>
    </row>
    <row r="34" ht="48" customHeight="1">
      <c r="A34" s="14" t="inlineStr">
        <is>
          <t>P30</t>
        </is>
      </c>
      <c r="B34" s="14" t="inlineStr">
        <is>
          <t>agent-spend-guard</t>
        </is>
      </c>
      <c r="C34" s="14" t="inlineStr">
        <is>
          <t>AI Tooling / FinOps</t>
        </is>
      </c>
      <c r="D34" s="15" t="inlineStr">
        <is>
          <t>Per-dev, per-project token budgets with hard kill-switch for Claude Code, Cursor, and API agents</t>
        </is>
      </c>
      <c r="E34" s="15" t="inlineStr">
        <is>
          <t>Teams blow annual AI token budgets in months (Uber by April 2026); dashboards report after the fact, nothing enforces.</t>
        </is>
      </c>
      <c r="F34" s="11" t="n">
        <v>5</v>
      </c>
      <c r="G34" s="11" t="n">
        <v>5</v>
      </c>
      <c r="H34" s="11" t="n">
        <v>4</v>
      </c>
      <c r="I34" s="11" t="n">
        <v>4</v>
      </c>
      <c r="J34" s="11" t="n">
        <v>3</v>
      </c>
      <c r="K34" s="12">
        <f>F34+G34+H34+I34+J34</f>
        <v/>
      </c>
      <c r="L34" s="12">
        <f>IF(K34&gt;=20,"NOW",IF(K34&gt;=16,"NEXT",IF(K34&gt;=12,"LATER","PARK")))</f>
        <v/>
      </c>
      <c r="M34" s="16" t="inlineStr">
        <is>
          <t>OPEN-CORE</t>
        </is>
      </c>
      <c r="N34" s="15" t="inlineStr">
        <is>
          <t>Team budgets + policy ($10–15/dev/mo)</t>
        </is>
      </c>
      <c r="O34" s="14" t="inlineStr">
        <is>
          <t>Concept</t>
        </is>
      </c>
      <c r="P34" s="14" t="inlineStr">
        <is>
          <t>Design</t>
        </is>
      </c>
      <c r="Q34" s="14" t="inlineStr">
        <is>
          <t>CLI,API,Web</t>
        </is>
      </c>
      <c r="R34" s="14" t="inlineStr">
        <is>
          <t>agent-spend-guard</t>
        </is>
      </c>
      <c r="S34" s="14" t="inlineStr">
        <is>
          <t>AI,FinOps,budget,guardrails,tokens,suite</t>
        </is>
      </c>
      <c r="T34" s="15" t="inlineStr">
        <is>
          <t>Hygiene suite #5 (control spend); sharper guardrails wedge that supersedes P05 for NOW</t>
        </is>
      </c>
      <c r="U34" s="14" t="inlineStr">
        <is>
          <t>2026-07-11</t>
        </is>
      </c>
    </row>
    <row r="35" ht="48" customHeight="1">
      <c r="A35" s="9" t="inlineStr">
        <is>
          <t>P31</t>
        </is>
      </c>
      <c r="B35" s="9" t="inlineStr">
        <is>
          <t>indic-voice-flow</t>
        </is>
      </c>
      <c r="C35" s="9" t="inlineStr">
        <is>
          <t>Consumer AI / Voice</t>
        </is>
      </c>
      <c r="D35" s="10" t="inlineStr">
        <is>
          <t>Wispr Flow-class voice dictation for Hinglish and Indic languages — desktop hotkey + Android keyboard</t>
        </is>
      </c>
      <c r="E35" s="10" t="inlineStr">
        <is>
          <t>English-first dictation fails code-switched Hinglish/Indic scripts; Indian professionals type far slower than they speak.</t>
        </is>
      </c>
      <c r="F35" s="11" t="n">
        <v>4</v>
      </c>
      <c r="G35" s="11" t="n">
        <v>4</v>
      </c>
      <c r="H35" s="11" t="n">
        <v>2</v>
      </c>
      <c r="I35" s="11" t="n">
        <v>3</v>
      </c>
      <c r="J35" s="11" t="n">
        <v>3</v>
      </c>
      <c r="K35" s="12">
        <f>F35+G35+H35+I35+J35</f>
        <v/>
      </c>
      <c r="L35" s="12">
        <f>IF(K35&gt;=20,"NOW",IF(K35&gt;=16,"NEXT",IF(K35&gt;=12,"LATER","PARK")))</f>
        <v/>
      </c>
      <c r="M35" s="13" t="inlineStr">
        <is>
          <t>PRIVATE-PAID</t>
        </is>
      </c>
      <c r="N35" s="10" t="inlineStr">
        <is>
          <t>Consumer subscription (₹299–499/mo)</t>
        </is>
      </c>
      <c r="O35" s="9" t="inlineStr">
        <is>
          <t>Concept</t>
        </is>
      </c>
      <c r="P35" s="9" t="inlineStr">
        <is>
          <t>Research</t>
        </is>
      </c>
      <c r="Q35" s="9" t="inlineStr">
        <is>
          <t>Desktop,Android,iOS</t>
        </is>
      </c>
      <c r="R35" s="9" t="inlineStr">
        <is>
          <t>indic-voice-flow</t>
        </is>
      </c>
      <c r="S35" s="9" t="inlineStr">
        <is>
          <t>voice,India,consumer,dictation,ASR</t>
        </is>
      </c>
      <c r="T35" s="10" t="inlineStr">
        <is>
          <t>The Wispr-Flow-style revenue play; don't compete in English — own Hinglish. Needs cofounder or dedicated cycle.</t>
        </is>
      </c>
      <c r="U35" s="9" t="inlineStr">
        <is>
          <t>2026-07-11</t>
        </is>
      </c>
    </row>
    <row r="36" ht="48" customHeight="1">
      <c r="A36" s="14" t="inlineStr">
        <is>
          <t>P32</t>
        </is>
      </c>
      <c r="B36" s="14" t="inlineStr">
        <is>
          <t>pr-triage</t>
        </is>
      </c>
      <c r="C36" s="14" t="inlineStr">
        <is>
          <t>Dev Productivity / Quality</t>
        </is>
      </c>
      <c r="D36" s="15" t="inlineStr">
        <is>
          <t>Risk-rank AI-generated PR diffs so humans review the 20% that actually matters</t>
        </is>
      </c>
      <c r="E36" s="15" t="inlineStr">
        <is>
          <t>Developers now spend 11.4 hrs/week reviewing AI code vs 9.8 writing; 66% cite 'almost right, but not quite' as top frustration.</t>
        </is>
      </c>
      <c r="F36" s="11" t="n">
        <v>5</v>
      </c>
      <c r="G36" s="11" t="n">
        <v>5</v>
      </c>
      <c r="H36" s="11" t="n">
        <v>3</v>
      </c>
      <c r="I36" s="11" t="n">
        <v>3</v>
      </c>
      <c r="J36" s="11" t="n">
        <v>2</v>
      </c>
      <c r="K36" s="12">
        <f>F36+G36+H36+I36+J36</f>
        <v/>
      </c>
      <c r="L36" s="12">
        <f>IF(K36&gt;=20,"NOW",IF(K36&gt;=16,"NEXT",IF(K36&gt;=12,"LATER","PARK")))</f>
        <v/>
      </c>
      <c r="M36" s="16" t="inlineStr">
        <is>
          <t>OPEN-CORE</t>
        </is>
      </c>
      <c r="N36" s="15" t="inlineStr">
        <is>
          <t>Org tier ($99+/mo)</t>
        </is>
      </c>
      <c r="O36" s="14" t="inlineStr">
        <is>
          <t>Concept</t>
        </is>
      </c>
      <c r="P36" s="14" t="inlineStr">
        <is>
          <t>Watch</t>
        </is>
      </c>
      <c r="Q36" s="14" t="inlineStr">
        <is>
          <t>CLI,API,Extension</t>
        </is>
      </c>
      <c r="R36" s="14" t="inlineStr">
        <is>
          <t>pr-triage</t>
        </is>
      </c>
      <c r="S36" s="14" t="inlineStr">
        <is>
          <t>AI,code-review,CI,devtools</t>
        </is>
      </c>
      <c r="T36" s="15" t="inlineStr">
        <is>
          <t>Big pain but CodeRabbit/Greptile/GitHub converging; watch for a hunk-level triage wedge</t>
        </is>
      </c>
      <c r="U36" s="14" t="inlineStr">
        <is>
          <t>2026-07-11</t>
        </is>
      </c>
    </row>
    <row r="38">
      <c r="A38" s="17" t="inlineStr">
        <is>
          <t>Legend</t>
        </is>
      </c>
    </row>
    <row r="39">
      <c r="A39" s="18" t="inlineStr">
        <is>
          <t>Input scores</t>
        </is>
      </c>
      <c r="B39" s="5" t="inlineStr">
        <is>
          <t>Yellow fill + blue font = editable (1–5)</t>
        </is>
      </c>
    </row>
    <row r="40">
      <c r="A40" s="19" t="inlineStr">
        <is>
          <t>TOTAL / Priority</t>
        </is>
      </c>
      <c r="B40" s="5" t="inlineStr">
        <is>
          <t>Excel formulas — do not overwrite</t>
        </is>
      </c>
    </row>
    <row r="41">
      <c r="A41" s="20" t="inlineStr">
        <is>
          <t>NOW</t>
        </is>
      </c>
      <c r="B41" s="5" t="inlineStr">
        <is>
          <t>TOTAL ≥ 20</t>
        </is>
      </c>
    </row>
    <row r="42">
      <c r="A42" s="21" t="inlineStr">
        <is>
          <t>NEXT</t>
        </is>
      </c>
      <c r="B42" s="5" t="inlineStr">
        <is>
          <t>TOTAL 16–19</t>
        </is>
      </c>
    </row>
    <row r="43">
      <c r="A43" s="22" t="inlineStr">
        <is>
          <t>LATER</t>
        </is>
      </c>
      <c r="B43" s="5" t="inlineStr">
        <is>
          <t>TOTAL 12–15</t>
        </is>
      </c>
    </row>
    <row r="44">
      <c r="A44" s="23" t="inlineStr">
        <is>
          <t>PARK</t>
        </is>
      </c>
      <c r="B44" s="5" t="inlineStr">
        <is>
          <t>TOTAL &lt; 12</t>
        </is>
      </c>
    </row>
    <row r="45">
      <c r="A45" s="20" t="inlineStr">
        <is>
          <t>OPEN-CORE</t>
        </is>
      </c>
      <c r="B45" s="5" t="inlineStr">
        <is>
          <t>Goes public (OSS repo); monetize via paid layer on top</t>
        </is>
      </c>
    </row>
    <row r="46">
      <c r="A46" s="23" t="inlineStr">
        <is>
          <t>PRIVATE-PAID</t>
        </is>
      </c>
      <c r="B46" s="5" t="inlineStr">
        <is>
          <t>Stays private (closed source); the product itself is paid</t>
        </is>
      </c>
    </row>
  </sheetData>
  <autoFilter ref="A4:U36"/>
  <mergeCells count="2">
    <mergeCell ref="A1:U1"/>
    <mergeCell ref="A2:U2"/>
  </mergeCells>
  <conditionalFormatting sqref="L5:L36">
    <cfRule type="expression" priority="1" dxfId="0">
      <formula>$L5="NOW"</formula>
    </cfRule>
    <cfRule type="expression" priority="2" dxfId="1">
      <formula>$L5="NEXT"</formula>
    </cfRule>
    <cfRule type="expression" priority="3" dxfId="2">
      <formula>$L5="LATER"</formula>
    </cfRule>
    <cfRule type="expression" priority="4" dxfId="3">
      <formula>$L5="PARK"</formula>
    </cfRule>
  </conditionalFormatting>
  <conditionalFormatting sqref="M5:M36">
    <cfRule type="expression" priority="5" dxfId="0">
      <formula>$M5="OPEN-CORE"</formula>
    </cfRule>
    <cfRule type="expression" priority="6" dxfId="3">
      <formula>$M5="PRIVATE-PAID"</formula>
    </cfRule>
  </conditionalFormatting>
  <dataValidations count="1">
    <dataValidation sqref="F5 F6 F7 F8 F9 F10 F11 F12 F13 F14 F15 F16 F17 F18 F19 F20 F21 F22 F23 F24 F25 F26 F27 F28 F29 F30 F31 F32 F33 F34 F35 F36 G5 G6 G7 G8 G9 G10 G11 G12 G13 G14 G15 G16 G17 G18 G19 G20 G21 G22 G23 G24 G25 G26 G27 G28 G29 G30 G31 G32 G33 G34 G35 G36 H5 H6 H7 H8 H9 H10 H11 H12 H13 H14 H15 H16 H17 H18 H19 H20 H21 H22 H23 H24 H25 H26 H27 H28 H29 H30 H31 H32 H33 H34 H35 H36 I5 I6 I7 I8 I9 I10 I11 I12 I13 I14 I15 I16 I17 I18 I19 I20 I21 I22 I23 I24 I25 I26 I27 I28 I29 I30 I31 I32 I33 I34 I35 I36 J5 J6 J7 J8 J9 J10 J11 J12 J13 J14 J15 J16 J17 J18 J19 J20 J21 J22 J23 J24 J25 J26 J27 J28 J29 J30 J31 J32 J33 J34 J35 J36" showDropDown="0" showInputMessage="0" showErrorMessage="0" allowBlank="0" errorTitle="Invalid score" error="Score must be integer 1–5" type="whole" operator="between">
      <formula1>1</formula1>
      <formula2>5</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20" customWidth="1" min="3" max="3"/>
    <col width="40" customWidth="1" min="4" max="4"/>
    <col width="36" customWidth="1" min="5" max="5"/>
    <col width="32" customWidth="1" min="6" max="6"/>
    <col width="32" customWidth="1" min="7" max="7"/>
    <col width="32" customWidth="1" min="8" max="8"/>
    <col width="32" customWidth="1" min="9" max="9"/>
    <col width="8" customWidth="1" min="10" max="10"/>
    <col width="12" customWidth="1" min="11" max="11"/>
    <col width="8" customWidth="1" min="12" max="12"/>
    <col width="8" customWidth="1" min="13" max="13"/>
    <col width="8" customWidth="1" min="14" max="14"/>
    <col width="12" customWidth="1" min="15" max="15"/>
  </cols>
  <sheetData>
    <row r="1">
      <c r="A1" s="1" t="inlineStr">
        <is>
          <t>Deep Research Briefs</t>
        </is>
      </c>
    </row>
    <row r="2">
      <c r="A2" s="7" t="inlineStr">
        <is>
          <t>Detailed research notes per opportunity. Score columns link to Master where noted; narrative is curated.</t>
        </is>
      </c>
    </row>
    <row r="4">
      <c r="A4" s="8" t="inlineStr">
        <is>
          <t>ID</t>
        </is>
      </c>
      <c r="B4" s="8" t="inlineStr">
        <is>
          <t>Name</t>
        </is>
      </c>
      <c r="C4" s="8" t="inlineStr">
        <is>
          <t>Category</t>
        </is>
      </c>
      <c r="D4" s="8" t="inlineStr">
        <is>
          <t>Market context</t>
        </is>
      </c>
      <c r="E4" s="8" t="inlineStr">
        <is>
          <t>Competitors / alternatives</t>
        </is>
      </c>
      <c r="F4" s="8" t="inlineStr">
        <is>
          <t>Why now</t>
        </is>
      </c>
      <c r="G4" s="8" t="inlineStr">
        <is>
          <t>Risks</t>
        </is>
      </c>
      <c r="H4" s="8" t="inlineStr">
        <is>
          <t>Evidence / traction signals</t>
        </is>
      </c>
      <c r="I4" s="8" t="inlineStr">
        <is>
          <t>Next research questions</t>
        </is>
      </c>
      <c r="J4" s="8" t="inlineStr">
        <is>
          <t>Burn</t>
        </is>
      </c>
      <c r="K4" s="8" t="inlineStr">
        <is>
          <t>Software-native</t>
        </is>
      </c>
      <c r="L4" s="8" t="inlineStr">
        <is>
          <t>Ship</t>
        </is>
      </c>
      <c r="M4" s="8" t="inlineStr">
        <is>
          <t>Dist</t>
        </is>
      </c>
      <c r="N4" s="8" t="inlineStr">
        <is>
          <t>Moat</t>
        </is>
      </c>
      <c r="O4" s="8" t="inlineStr">
        <is>
          <t>TOTAL (link)</t>
        </is>
      </c>
    </row>
    <row r="5" ht="72" customHeight="1">
      <c r="A5" s="24" t="inlineStr">
        <is>
          <t>P01</t>
        </is>
      </c>
      <c r="B5" s="24" t="inlineStr">
        <is>
          <t>instruct-sync</t>
        </is>
      </c>
      <c r="C5" s="24" t="inlineStr">
        <is>
          <t>AI Tooling</t>
        </is>
      </c>
      <c r="D5" s="25" t="inlineStr">
        <is>
          <t>AI coding assistants exploding; multi-agent workplaces common. Rules/context fragmentation is daily pain.</t>
        </is>
      </c>
      <c r="E5" s="25" t="inlineStr">
        <is>
          <t>rulesync, personal scripts, agent-specific converters, Cursor project rules only</t>
        </is>
      </c>
      <c r="F5" s="25" t="inlineStr">
        <is>
          <t>Agent sprawl (Cursor+Copilot+Claude Code etc.) peaking; OSS CLI distribution via npx is proven.</t>
        </is>
      </c>
      <c r="G5" s="25" t="inlineStr">
        <is>
          <t>Agents change file formats; big vendors ship native sync; commodity CLI risk</t>
        </is>
      </c>
      <c r="H5" s="25" t="inlineStr">
        <is>
          <t>Live beta, multi-agent adapters, dry-run/backup UX; HN/Reddit-ready narrative</t>
        </is>
      </c>
      <c r="I5" s="25" t="inlineStr">
        <is>
          <t>Download retention, paid team features demand, enterprise rules governance</t>
        </is>
      </c>
      <c r="J5" s="11" t="n">
        <v>5</v>
      </c>
      <c r="K5" s="11" t="n">
        <v>5</v>
      </c>
      <c r="L5" s="11" t="n">
        <v>5</v>
      </c>
      <c r="M5" s="11" t="n">
        <v>5</v>
      </c>
      <c r="N5" s="11" t="n">
        <v>3</v>
      </c>
      <c r="O5" s="12">
        <f>'01_Master_Portfolio'!K5</f>
        <v/>
      </c>
    </row>
    <row r="6" ht="72" customHeight="1">
      <c r="A6" s="14" t="inlineStr">
        <is>
          <t>P02</t>
        </is>
      </c>
      <c r="B6" s="14" t="inlineStr">
        <is>
          <t>ai-setup-doctor</t>
        </is>
      </c>
      <c r="C6" s="14" t="inlineStr">
        <is>
          <t>AI Tooling</t>
        </is>
      </c>
      <c r="D6" s="15" t="inlineStr">
        <is>
          <t>Same AI-dev tool wave; diagnostic CLIs (doctor pattern) have high shareability.</t>
        </is>
      </c>
      <c r="E6" s="15" t="inlineStr">
        <is>
          <t>Ad-hoc scripts, security scanners (generic), MCP inspector tools</t>
        </is>
      </c>
      <c r="F6" s="15" t="inlineStr">
        <is>
          <t>MCP+multi-agent setup pain is acute; doctor UX is viral (npx check).</t>
        </is>
      </c>
      <c r="G6" s="15" t="inlineStr">
        <is>
          <t>Overlap with secret-guard / instruct-sync; needs clear product boundary</t>
        </is>
      </c>
      <c r="H6" s="15" t="inlineStr">
        <is>
          <t>Fixtures for bad MCP, secrets, drift, bloat already in repo</t>
        </is>
      </c>
      <c r="I6" s="15" t="inlineStr">
        <is>
          <t>Which checks users value most; CI integration demand</t>
        </is>
      </c>
      <c r="J6" s="11" t="n">
        <v>5</v>
      </c>
      <c r="K6" s="11" t="n">
        <v>5</v>
      </c>
      <c r="L6" s="11" t="n">
        <v>5</v>
      </c>
      <c r="M6" s="11" t="n">
        <v>4</v>
      </c>
      <c r="N6" s="11" t="n">
        <v>3</v>
      </c>
      <c r="O6" s="12">
        <f>'01_Master_Portfolio'!K6</f>
        <v/>
      </c>
    </row>
    <row r="7" ht="72" customHeight="1">
      <c r="A7" s="24" t="inlineStr">
        <is>
          <t>P03</t>
        </is>
      </c>
      <c r="B7" s="24" t="inlineStr">
        <is>
          <t>mcp-sync</t>
        </is>
      </c>
      <c r="C7" s="24" t="inlineStr">
        <is>
          <t>AI Tooling</t>
        </is>
      </c>
      <c r="D7" s="25" t="inlineStr">
        <is>
          <t>MCP becoming standard transport for agent tools; multi-client users growing fast.</t>
        </is>
      </c>
      <c r="E7" s="25" t="inlineStr">
        <is>
          <t>Manual JSON, vendor UI only, early MCP managers</t>
        </is>
      </c>
      <c r="F7" s="25" t="inlineStr">
        <is>
          <t>MCP ecosystem still immature; window for open standard tooling.</t>
        </is>
      </c>
      <c r="G7" s="25" t="inlineStr">
        <is>
          <t>Spec churn; official multi-client managers from Anthropic/OpenAI/MS</t>
        </is>
      </c>
      <c r="H7" s="25" t="inlineStr">
        <is>
          <t>Same distribution motion as instruct-sync; shared adapter patterns</t>
        </is>
      </c>
      <c r="I7" s="25" t="inlineStr">
        <is>
          <t>Map all client MCP file locations &amp; schema diffs</t>
        </is>
      </c>
      <c r="J7" s="11" t="n">
        <v>4</v>
      </c>
      <c r="K7" s="11" t="n">
        <v>5</v>
      </c>
      <c r="L7" s="11" t="n">
        <v>5</v>
      </c>
      <c r="M7" s="11" t="n">
        <v>4</v>
      </c>
      <c r="N7" s="11" t="n">
        <v>3</v>
      </c>
      <c r="O7" s="12">
        <f>'01_Master_Portfolio'!K7</f>
        <v/>
      </c>
    </row>
    <row r="8" ht="72" customHeight="1">
      <c r="A8" s="14" t="inlineStr">
        <is>
          <t>P04</t>
        </is>
      </c>
      <c r="B8" s="14" t="inlineStr">
        <is>
          <t>secret-guard</t>
        </is>
      </c>
      <c r="C8" s="14" t="inlineStr">
        <is>
          <t>AI Tooling / Security</t>
        </is>
      </c>
      <c r="D8" s="15" t="inlineStr">
        <is>
          <t>Secrets sprawl + AI configs = new leak surface; security budgets growing.</t>
        </is>
      </c>
      <c r="E8" s="15" t="inlineStr">
        <is>
          <t>gitleaks, trufflehog, GitHub secret scanning (not AI-path aware)</t>
        </is>
      </c>
      <c r="F8" s="15" t="inlineStr">
        <is>
          <t>AI config files are new secret vectors poorly covered by classic scanners.</t>
        </is>
      </c>
      <c r="G8" s="15" t="inlineStr">
        <is>
          <t>Crowded secrets market; need AI-path differentiation</t>
        </is>
      </c>
      <c r="H8" s="15" t="inlineStr">
        <is>
          <t>setup-doctor leaky-secrets fixtures; enterprise pain stories</t>
        </is>
      </c>
      <c r="I8" s="15" t="inlineStr">
        <is>
          <t>False positive rates; VS Code extension demand</t>
        </is>
      </c>
      <c r="J8" s="11" t="n">
        <v>5</v>
      </c>
      <c r="K8" s="11" t="n">
        <v>5</v>
      </c>
      <c r="L8" s="11" t="n">
        <v>4</v>
      </c>
      <c r="M8" s="11" t="n">
        <v>4</v>
      </c>
      <c r="N8" s="11" t="n">
        <v>3</v>
      </c>
      <c r="O8" s="12">
        <f>'01_Master_Portfolio'!K8</f>
        <v/>
      </c>
    </row>
    <row r="9" ht="72" customHeight="1">
      <c r="A9" s="24" t="inlineStr">
        <is>
          <t>P05</t>
        </is>
      </c>
      <c r="B9" s="24" t="inlineStr">
        <is>
          <t>llm-spend</t>
        </is>
      </c>
      <c r="C9" s="24" t="inlineStr">
        <is>
          <t>AI Tooling / FinOps</t>
        </is>
      </c>
      <c r="D9" s="25" t="inlineStr">
        <is>
          <t>LLM spend becoming material OpEx; CFOs ask for unit economics of AI features.</t>
        </is>
      </c>
      <c r="E9" s="25" t="inlineStr">
        <is>
          <t>Helicone, Langfuse, Portkey, vendor dashboards, CloudZero AI modules</t>
        </is>
      </c>
      <c r="F9" s="25" t="inlineStr">
        <is>
          <t>Multi-provider reality; startups need budget caps before Series A burns.</t>
        </is>
      </c>
      <c r="G9" s="25" t="inlineStr">
        <is>
          <t>Crowded observability; need SMB wedge or India/SME pricing</t>
        </is>
      </c>
      <c r="H9" s="25" t="inlineStr">
        <is>
          <t>Surveys of runaway GPT bills; proxy open-source traction</t>
        </is>
      </c>
      <c r="I9" s="25" t="inlineStr">
        <is>
          <t>Willingness to pay SMB vs enterprise; proxy vs pull-billing UX</t>
        </is>
      </c>
      <c r="J9" s="11" t="n">
        <v>5</v>
      </c>
      <c r="K9" s="11" t="n">
        <v>5</v>
      </c>
      <c r="L9" s="11" t="n">
        <v>3</v>
      </c>
      <c r="M9" s="11" t="n">
        <v>3</v>
      </c>
      <c r="N9" s="11" t="n">
        <v>3</v>
      </c>
      <c r="O9" s="12">
        <f>'01_Master_Portfolio'!K9</f>
        <v/>
      </c>
    </row>
    <row r="10" ht="72" customHeight="1">
      <c r="A10" s="14" t="inlineStr">
        <is>
          <t>P06</t>
        </is>
      </c>
      <c r="B10" s="14" t="inlineStr">
        <is>
          <t>skill-sync</t>
        </is>
      </c>
      <c r="C10" s="14" t="inlineStr">
        <is>
          <t>AI Tooling</t>
        </is>
      </c>
      <c r="D10" s="15" t="inlineStr">
        <is>
          <t>Agent skills emerging as unit of reuse; registries will form.</t>
        </is>
      </c>
      <c r="E10" s="15" t="inlineStr">
        <is>
          <t>Internal wikis, prompt marketplaces, LangChain hubs</t>
        </is>
      </c>
      <c r="F10" s="15" t="inlineStr">
        <is>
          <t>Early—format still fluid; park until standards stabilize slightly.</t>
        </is>
      </c>
      <c r="G10" s="15" t="inlineStr">
        <is>
          <t>Premature; vendors lock skills into their ecosystems</t>
        </is>
      </c>
      <c r="H10" s="15" t="inlineStr">
        <is>
          <t>Analogous to npm for agent capabilities narrative</t>
        </is>
      </c>
      <c r="I10" s="15" t="inlineStr">
        <is>
          <t>Track Claude/Cursor skill formats quarterly</t>
        </is>
      </c>
      <c r="J10" s="11" t="n">
        <v>3</v>
      </c>
      <c r="K10" s="11" t="n">
        <v>5</v>
      </c>
      <c r="L10" s="11" t="n">
        <v>3</v>
      </c>
      <c r="M10" s="11" t="n">
        <v>3</v>
      </c>
      <c r="N10" s="11" t="n">
        <v>4</v>
      </c>
      <c r="O10" s="12">
        <f>'01_Master_Portfolio'!K10</f>
        <v/>
      </c>
    </row>
    <row r="11" ht="72" customHeight="1">
      <c r="A11" s="24" t="inlineStr">
        <is>
          <t>P07</t>
        </is>
      </c>
      <c r="B11" s="24" t="inlineStr">
        <is>
          <t>shadow-AI</t>
        </is>
      </c>
      <c r="C11" s="24" t="inlineStr">
        <is>
          <t>AI Tooling / Security / GRC</t>
        </is>
      </c>
      <c r="D11" s="25" t="inlineStr">
        <is>
          <t>Shadow IT + GenAI = board-level risk; CASB/SSPM vendors expanding.</t>
        </is>
      </c>
      <c r="E11" s="25" t="inlineStr">
        <is>
          <t>Netskope, Zscaler, Microsoft Purview, specialized AI governance startups</t>
        </is>
      </c>
      <c r="F11" s="25" t="inlineStr">
        <is>
          <t>Regulators and CISOs waking up; budgets exist but sales cycles long.</t>
        </is>
      </c>
      <c r="G11" s="25" t="inlineStr">
        <is>
          <t>Enterprise sales, privacy, needs endpoint/network hooks</t>
        </is>
      </c>
      <c r="H11" s="25" t="inlineStr">
        <is>
          <t>Gartner-style AI governance category forming</t>
        </is>
      </c>
      <c r="I11" s="25" t="inlineStr">
        <is>
          <t>SMB browser-extension wedge vs full CASB</t>
        </is>
      </c>
      <c r="J11" s="11" t="n">
        <v>5</v>
      </c>
      <c r="K11" s="11" t="n">
        <v>4</v>
      </c>
      <c r="L11" s="11" t="n">
        <v>2</v>
      </c>
      <c r="M11" s="11" t="n">
        <v>2</v>
      </c>
      <c r="N11" s="11" t="n">
        <v>3</v>
      </c>
      <c r="O11" s="12">
        <f>'01_Master_Portfolio'!K11</f>
        <v/>
      </c>
    </row>
    <row r="12" ht="72" customHeight="1">
      <c r="A12" s="14" t="inlineStr">
        <is>
          <t>P08</t>
        </is>
      </c>
      <c r="B12" s="14" t="inlineStr">
        <is>
          <t>eval-harness</t>
        </is>
      </c>
      <c r="C12" s="14" t="inlineStr">
        <is>
          <t>AI Tooling</t>
        </is>
      </c>
      <c r="D12" s="15" t="inlineStr">
        <is>
          <t>Eval tooling category heating; every serious AI product needs regression.</t>
        </is>
      </c>
      <c r="E12" s="15" t="inlineStr">
        <is>
          <t>Promptfoo, LangSmith, Braintrust, DeepEval, custom pytest</t>
        </is>
      </c>
      <c r="F12" s="15" t="inlineStr">
        <is>
          <t>Agent apps in production need CI; many teams still ad-hoc.</t>
        </is>
      </c>
      <c r="G12" s="15" t="inlineStr">
        <is>
          <t>Crowded; hard to differentiate without unique datasets or UX</t>
        </is>
      </c>
      <c r="H12" s="15" t="inlineStr">
        <is>
          <t>Promptfoo OSS traction proves demand</t>
        </is>
      </c>
      <c r="I12" s="15" t="inlineStr">
        <is>
          <t>Niche: India cost-sensitive or agent-trace specific</t>
        </is>
      </c>
      <c r="J12" s="11" t="n">
        <v>4</v>
      </c>
      <c r="K12" s="11" t="n">
        <v>5</v>
      </c>
      <c r="L12" s="11" t="n">
        <v>3</v>
      </c>
      <c r="M12" s="11" t="n">
        <v>3</v>
      </c>
      <c r="N12" s="11" t="n">
        <v>3</v>
      </c>
      <c r="O12" s="12">
        <f>'01_Master_Portfolio'!K12</f>
        <v/>
      </c>
    </row>
    <row r="13" ht="72" customHeight="1">
      <c r="A13" s="24" t="inlineStr">
        <is>
          <t>P09</t>
        </is>
      </c>
      <c r="B13" s="24" t="inlineStr">
        <is>
          <t>auth-anomaly-radar</t>
        </is>
      </c>
      <c r="C13" s="24" t="inlineStr">
        <is>
          <t>Security / Identity / Fraud</t>
        </is>
      </c>
      <c r="D13" s="25" t="inlineStr">
        <is>
          <t>Identity attacks rising; mid-market cannot afford full fraud stacks.</t>
        </is>
      </c>
      <c r="E13" s="25" t="inlineStr">
        <is>
          <t>Arkose, Sift, Fingerprint, Auth0 Attack Protection, Cloudflare</t>
        </is>
      </c>
      <c r="F13" s="25" t="inlineStr">
        <is>
          <t>Credential stuffing commoditized; need affordable SMB layer.</t>
        </is>
      </c>
      <c r="G13" s="25" t="inlineStr">
        <is>
          <t>Incumbents bundle features; false positives hurt UX</t>
        </is>
      </c>
      <c r="H13" s="25" t="inlineStr">
        <is>
          <t>Auth provider event APIs enable third-party detection</t>
        </is>
      </c>
      <c r="I13" s="25" t="inlineStr">
        <is>
          <t>WTP for $99–499/mo vs free Auth0 features</t>
        </is>
      </c>
      <c r="J13" s="11" t="n">
        <v>4</v>
      </c>
      <c r="K13" s="11" t="n">
        <v>5</v>
      </c>
      <c r="L13" s="11" t="n">
        <v>3</v>
      </c>
      <c r="M13" s="11" t="n">
        <v>2</v>
      </c>
      <c r="N13" s="11" t="n">
        <v>3</v>
      </c>
      <c r="O13" s="12">
        <f>'01_Master_Portfolio'!K13</f>
        <v/>
      </c>
    </row>
    <row r="14" ht="72" customHeight="1">
      <c r="A14" s="14" t="inlineStr">
        <is>
          <t>P10</t>
        </is>
      </c>
      <c r="B14" s="14" t="inlineStr">
        <is>
          <t>fraud-signal-kit</t>
        </is>
      </c>
      <c r="C14" s="14" t="inlineStr">
        <is>
          <t>Security / Identity / Fraud</t>
        </is>
      </c>
      <c r="D14" s="15" t="inlineStr">
        <is>
          <t>India UPI/e-com fraud scale; local players + banks buying signals.</t>
        </is>
      </c>
      <c r="E14" s="15" t="inlineStr">
        <is>
          <t>Signzy, Bureau, TransUnion, global Device Intelligence</t>
        </is>
      </c>
      <c r="F14" s="15" t="inlineStr">
        <is>
          <t>Digital public infrastructure + fintech boom, but hard regulated moat.</t>
        </is>
      </c>
      <c r="G14" s="15" t="inlineStr">
        <is>
          <t>Data partnerships, capital, regulation</t>
        </is>
      </c>
      <c r="H14" s="15" t="inlineStr">
        <is>
          <t>India fintech security spend growing with volume</t>
        </is>
      </c>
      <c r="I14" s="15" t="inlineStr">
        <is>
          <t>Partnership with KYC vendors; niche vertical (BNPL, gaming)</t>
        </is>
      </c>
      <c r="J14" s="11" t="n">
        <v>4</v>
      </c>
      <c r="K14" s="11" t="n">
        <v>4</v>
      </c>
      <c r="L14" s="11" t="n">
        <v>2</v>
      </c>
      <c r="M14" s="11" t="n">
        <v>2</v>
      </c>
      <c r="N14" s="11" t="n">
        <v>3</v>
      </c>
      <c r="O14" s="12">
        <f>'01_Master_Portfolio'!K14</f>
        <v/>
      </c>
    </row>
    <row r="15" ht="72" customHeight="1">
      <c r="A15" s="24" t="inlineStr">
        <is>
          <t>P11</t>
        </is>
      </c>
      <c r="B15" s="24" t="inlineStr">
        <is>
          <t>cloud-waste-radar</t>
        </is>
      </c>
      <c r="C15" s="24" t="inlineStr">
        <is>
          <t>Cloud FinOps</t>
        </is>
      </c>
      <c r="D15" s="25" t="inlineStr">
        <is>
          <t>Cloud FinOps large; waste ~30% class from industry surveys (Flexera et al.).</t>
        </is>
      </c>
      <c r="E15" s="25" t="inlineStr">
        <is>
          <t>Vantage, CloudHealth, Kubecost, native AWS Cost Explorer, nOps</t>
        </is>
      </c>
      <c r="F15" s="25" t="inlineStr">
        <is>
          <t>Interest rates / efficiency culture; AI infra spend spike.</t>
        </is>
      </c>
      <c r="G15" s="25" t="inlineStr">
        <is>
          <t>Commoditization; AWS native improvements</t>
        </is>
      </c>
      <c r="H15" s="25" t="inlineStr">
        <is>
          <t>Always-on demand for idle EBS/EIP/RDS detection</t>
        </is>
      </c>
      <c r="I15" s="25" t="inlineStr">
        <is>
          <t>India price-sensitive wedge; agentic auto-remediation angle</t>
        </is>
      </c>
      <c r="J15" s="11" t="n">
        <v>4</v>
      </c>
      <c r="K15" s="11" t="n">
        <v>5</v>
      </c>
      <c r="L15" s="11" t="n">
        <v>3</v>
      </c>
      <c r="M15" s="11" t="n">
        <v>3</v>
      </c>
      <c r="N15" s="11" t="n">
        <v>2</v>
      </c>
      <c r="O15" s="12">
        <f>'01_Master_Portfolio'!K15</f>
        <v/>
      </c>
    </row>
    <row r="16" ht="72" customHeight="1">
      <c r="A16" s="14" t="inlineStr">
        <is>
          <t>P12</t>
        </is>
      </c>
      <c r="B16" s="14" t="inlineStr">
        <is>
          <t>dev-onboard-os</t>
        </is>
      </c>
      <c r="C16" s="14" t="inlineStr">
        <is>
          <t>Dev Productivity</t>
        </is>
      </c>
      <c r="D16" s="15" t="inlineStr">
        <is>
          <t>DevEx budgets rising; remote/hybrid makes onboarding harder.</t>
        </is>
      </c>
      <c r="E16" s="15" t="inlineStr">
        <is>
          <t>Compass, Internal.io, Notion templates, custom scripts</t>
        </is>
      </c>
      <c r="F16" s="15" t="inlineStr">
        <is>
          <t>AI can personalize onboarding paths; still crowded.</t>
        </is>
      </c>
      <c r="G16" s="15" t="inlineStr">
        <is>
          <t>Low willingness to pay; internal tools suffice</t>
        </is>
      </c>
      <c r="H16" s="15" t="inlineStr">
        <is>
          <t>DX surveys show onboarding as top pain</t>
        </is>
      </c>
      <c r="I16" s="15" t="inlineStr">
        <is>
          <t>Vertical: AI-era onboarding (agents + secrets + MCP day-1)</t>
        </is>
      </c>
      <c r="J16" s="11" t="n">
        <v>3</v>
      </c>
      <c r="K16" s="11" t="n">
        <v>4</v>
      </c>
      <c r="L16" s="11" t="n">
        <v>3</v>
      </c>
      <c r="M16" s="11" t="n">
        <v>3</v>
      </c>
      <c r="N16" s="11" t="n">
        <v>2</v>
      </c>
      <c r="O16" s="12">
        <f>'01_Master_Portfolio'!K16</f>
        <v/>
      </c>
    </row>
    <row r="17" ht="72" customHeight="1">
      <c r="A17" s="24" t="inlineStr">
        <is>
          <t>P13</t>
        </is>
      </c>
      <c r="B17" s="24" t="inlineStr">
        <is>
          <t>sbom-lite</t>
        </is>
      </c>
      <c r="C17" s="24" t="inlineStr">
        <is>
          <t>Security / Supply Chain</t>
        </is>
      </c>
      <c r="D17" s="25" t="inlineStr">
        <is>
          <t>Software supply chain security mandatory for many RFPs.</t>
        </is>
      </c>
      <c r="E17" s="25" t="inlineStr">
        <is>
          <t>Syft, Anchore, Snyk, FOSSA, Dependency-Track</t>
        </is>
      </c>
      <c r="F17" s="25" t="inlineStr">
        <is>
          <t>Compliance pull; open standards (SPDX/CycloneDX).</t>
        </is>
      </c>
      <c r="G17" s="25" t="inlineStr">
        <is>
          <t>Incumbents free/open; hard monetization</t>
        </is>
      </c>
      <c r="H17" s="25" t="inlineStr">
        <is>
          <t>GitHub dependency graph + customer questionnaires</t>
        </is>
      </c>
      <c r="I17" s="25" t="inlineStr">
        <is>
          <t>Policy-as-code templates for India exporters / ISO</t>
        </is>
      </c>
      <c r="J17" s="11" t="n">
        <v>3</v>
      </c>
      <c r="K17" s="11" t="n">
        <v>5</v>
      </c>
      <c r="L17" s="11" t="n">
        <v>4</v>
      </c>
      <c r="M17" s="11" t="n">
        <v>3</v>
      </c>
      <c r="N17" s="11" t="n">
        <v>2</v>
      </c>
      <c r="O17" s="12">
        <f>'01_Master_Portfolio'!K17</f>
        <v/>
      </c>
    </row>
    <row r="18" ht="72" customHeight="1">
      <c r="A18" s="14" t="inlineStr">
        <is>
          <t>P14</t>
        </is>
      </c>
      <c r="B18" s="14" t="inlineStr">
        <is>
          <t>grc-evidence-autopilot</t>
        </is>
      </c>
      <c r="C18" s="14" t="inlineStr">
        <is>
          <t>Compliance / GRC</t>
        </is>
      </c>
      <c r="D18" s="15" t="inlineStr">
        <is>
          <t>GRC automation multi-billion trajectory; every B2B SaaS needs trust.</t>
        </is>
      </c>
      <c r="E18" s="15" t="inlineStr">
        <is>
          <t>Vanta, Drata, Secureframe, Sprinto (India), Scrut</t>
        </is>
      </c>
      <c r="F18" s="15" t="inlineStr">
        <is>
          <t>Still expensive for early startups; AI evidence drafting angle.</t>
        </is>
      </c>
      <c r="G18" s="15" t="inlineStr">
        <is>
          <t>Well-funded incumbents; trust &amp; auditor relationships</t>
        </is>
      </c>
      <c r="H18" s="15" t="inlineStr">
        <is>
          <t>Sprinto shows India GTM works for GRC</t>
        </is>
      </c>
      <c r="I18" s="15" t="inlineStr">
        <is>
          <t>Niche frameworks (DPDP India) vs SOC2 clone</t>
        </is>
      </c>
      <c r="J18" s="11" t="n">
        <v>4</v>
      </c>
      <c r="K18" s="11" t="n">
        <v>4</v>
      </c>
      <c r="L18" s="11" t="n">
        <v>2</v>
      </c>
      <c r="M18" s="11" t="n">
        <v>2</v>
      </c>
      <c r="N18" s="11" t="n">
        <v>3</v>
      </c>
      <c r="O18" s="12">
        <f>'01_Master_Portfolio'!K18</f>
        <v/>
      </c>
    </row>
    <row r="19" ht="72" customHeight="1">
      <c r="A19" s="24" t="inlineStr">
        <is>
          <t>P15</t>
        </is>
      </c>
      <c r="B19" s="24" t="inlineStr">
        <is>
          <t>wa-ops-desk</t>
        </is>
      </c>
      <c r="C19" s="24" t="inlineStr">
        <is>
          <t>India SMB / WhatsApp Ops</t>
        </is>
      </c>
      <c r="D19" s="25" t="inlineStr">
        <is>
          <t>India DX ~$124–144B class 2025–26; SME digitization high CAGR; WhatsApp ubiquitous.</t>
        </is>
      </c>
      <c r="E19" s="25" t="inlineStr">
        <is>
          <t>Interakt, Wati, AiSensy, Gallabox, custom BSP builds</t>
        </is>
      </c>
      <c r="F19" s="25" t="inlineStr">
        <is>
          <t>Cloud API mature; SMBs will pay for shared inbox + catalog.</t>
        </is>
      </c>
      <c r="G19" s="25" t="inlineStr">
        <is>
          <t>BSP competition, Meta policy, support burden</t>
        </is>
      </c>
      <c r="H19" s="25" t="inlineStr">
        <is>
          <t>Many funded WA SaaS; still room in vertical niches</t>
        </is>
      </c>
      <c r="I19" s="25" t="inlineStr">
        <is>
          <t>Pick vertical (clinics, tutors, local retail) for wedge</t>
        </is>
      </c>
      <c r="J19" s="11" t="n">
        <v>5</v>
      </c>
      <c r="K19" s="11" t="n">
        <v>4</v>
      </c>
      <c r="L19" s="11" t="n">
        <v>3</v>
      </c>
      <c r="M19" s="11" t="n">
        <v>4</v>
      </c>
      <c r="N19" s="11" t="n">
        <v>2</v>
      </c>
      <c r="O19" s="12">
        <f>'01_Master_Portfolio'!K19</f>
        <v/>
      </c>
    </row>
    <row r="20" ht="72" customHeight="1">
      <c r="A20" s="14" t="inlineStr">
        <is>
          <t>P16</t>
        </is>
      </c>
      <c r="B20" s="14" t="inlineStr">
        <is>
          <t>gst-ops-copilot</t>
        </is>
      </c>
      <c r="C20" s="14" t="inlineStr">
        <is>
          <t>India SMB / Fintech</t>
        </is>
      </c>
      <c r="D20" s="15" t="inlineStr">
        <is>
          <t>India GST ecosystem huge; Clear, Zoho, Tally dominate but AI copilots emerging.</t>
        </is>
      </c>
      <c r="E20" s="15" t="inlineStr">
        <is>
          <t>ClearTax, Zoho Books, Tally, Khatabook-adjacent, CA tools</t>
        </is>
      </c>
      <c r="F20" s="15" t="inlineStr">
        <is>
          <t>AI for document extraction; still trust/regulatory friction.</t>
        </is>
      </c>
      <c r="G20" s="15" t="inlineStr">
        <is>
          <t>Incumbents, GSTN API access, liability</t>
        </is>
      </c>
      <c r="H20" s="15" t="inlineStr">
        <is>
          <t>Always-green tax software category in India</t>
        </is>
      </c>
      <c r="I20" s="15" t="inlineStr">
        <is>
          <t>Partner with CAs rather than replace; API access path</t>
        </is>
      </c>
      <c r="J20" s="11" t="n">
        <v>4</v>
      </c>
      <c r="K20" s="11" t="n">
        <v>4</v>
      </c>
      <c r="L20" s="11" t="n">
        <v>2</v>
      </c>
      <c r="M20" s="11" t="n">
        <v>3</v>
      </c>
      <c r="N20" s="11" t="n">
        <v>3</v>
      </c>
      <c r="O20" s="12">
        <f>'01_Master_Portfolio'!K20</f>
        <v/>
      </c>
    </row>
    <row r="21" ht="72" customHeight="1">
      <c r="A21" s="24" t="inlineStr">
        <is>
          <t>P17</t>
        </is>
      </c>
      <c r="B21" s="24" t="inlineStr">
        <is>
          <t>appt-book-india</t>
        </is>
      </c>
      <c r="C21" s="24" t="inlineStr">
        <is>
          <t>India SMB / Appointments</t>
        </is>
      </c>
      <c r="D21" s="25" t="inlineStr">
        <is>
          <t>Local services digitizing; WhatsApp reminders reduce no-shows dramatically.</t>
        </is>
      </c>
      <c r="E21" s="25" t="inlineStr">
        <is>
          <t>Practo (health), Fresha, Setmore, Google Booking, local apps</t>
        </is>
      </c>
      <c r="F21" s="25" t="inlineStr">
        <is>
          <t>UPI + WA + cheap smartphones = booking UX ready.</t>
        </is>
      </c>
      <c r="G21" s="25" t="inlineStr">
        <is>
          <t>Low ARPU, support in vernacular, churn</t>
        </is>
      </c>
      <c r="H21" s="25" t="inlineStr">
        <is>
          <t>High no-show rates; WA reminder efficacy known</t>
        </is>
      </c>
      <c r="I21" s="25" t="inlineStr">
        <is>
          <t>Salon vs tutor vertical first; offline-first Android</t>
        </is>
      </c>
      <c r="J21" s="11" t="n">
        <v>4</v>
      </c>
      <c r="K21" s="11" t="n">
        <v>4</v>
      </c>
      <c r="L21" s="11" t="n">
        <v>4</v>
      </c>
      <c r="M21" s="11" t="n">
        <v>4</v>
      </c>
      <c r="N21" s="11" t="n">
        <v>2</v>
      </c>
      <c r="O21" s="12">
        <f>'01_Master_Portfolio'!K21</f>
        <v/>
      </c>
    </row>
    <row r="22" ht="72" customHeight="1">
      <c r="A22" s="14" t="inlineStr">
        <is>
          <t>P18</t>
        </is>
      </c>
      <c r="B22" s="14" t="inlineStr">
        <is>
          <t>clinic-admin-lite</t>
        </is>
      </c>
      <c r="C22" s="14" t="inlineStr">
        <is>
          <t>India SMB / Health Ops</t>
        </is>
      </c>
      <c r="D22" s="15" t="inlineStr">
        <is>
          <t>Fragmented outpatient market; digitization slow but inevitable.</t>
        </is>
      </c>
      <c r="E22" s="15" t="inlineStr">
        <is>
          <t>Practo Ray, eHospital, local HMS, Excel</t>
        </is>
      </c>
      <c r="F22" s="15" t="inlineStr">
        <is>
          <t>Post-COVID acceptance of digital; WA patient comms norm.</t>
        </is>
      </c>
      <c r="G22" s="15" t="inlineStr">
        <is>
          <t>Trust, data residency, long sales, support</t>
        </is>
      </c>
      <c r="H22" s="15" t="inlineStr">
        <is>
          <t>Many micro-clinics underserved by enterprise HMS</t>
        </is>
      </c>
      <c r="I22" s="15" t="inlineStr">
        <is>
          <t>Single-doctor clinic MVP interviews in 1 city</t>
        </is>
      </c>
      <c r="J22" s="11" t="n">
        <v>4</v>
      </c>
      <c r="K22" s="11" t="n">
        <v>4</v>
      </c>
      <c r="L22" s="11" t="n">
        <v>3</v>
      </c>
      <c r="M22" s="11" t="n">
        <v>3</v>
      </c>
      <c r="N22" s="11" t="n">
        <v>2</v>
      </c>
      <c r="O22" s="12">
        <f>'01_Master_Portfolio'!K22</f>
        <v/>
      </c>
    </row>
    <row r="23" ht="72" customHeight="1">
      <c r="A23" s="24" t="inlineStr">
        <is>
          <t>P19</t>
        </is>
      </c>
      <c r="B23" s="24" t="inlineStr">
        <is>
          <t>learn-loop</t>
        </is>
      </c>
      <c r="C23" s="24" t="inlineStr">
        <is>
          <t>Education</t>
        </is>
      </c>
      <c r="D23" s="25" t="inlineStr">
        <is>
          <t>India edtech reset favors tools over content marketplaces.</t>
        </is>
      </c>
      <c r="E23" s="25" t="inlineStr">
        <is>
          <t>Google Classroom, Teachmint, Classplus, Anki (SRS only)</t>
        </is>
      </c>
      <c r="F23" s="25" t="inlineStr">
        <is>
          <t>Tutors want ops not VC-scale marketplaces.</t>
        </is>
      </c>
      <c r="G23" s="25" t="inlineStr">
        <is>
          <t>Low willingness to pay; free Google tools</t>
        </is>
      </c>
      <c r="H23" s="25" t="inlineStr">
        <is>
          <t>Teachmint-style SMB tutor tools still active</t>
        </is>
      </c>
      <c r="I23" s="25" t="inlineStr">
        <is>
          <t>Paid tutor interviews; WA parent updates wedge</t>
        </is>
      </c>
      <c r="J23" s="11" t="n">
        <v>3</v>
      </c>
      <c r="K23" s="11" t="n">
        <v>4</v>
      </c>
      <c r="L23" s="11" t="n">
        <v>3</v>
      </c>
      <c r="M23" s="11" t="n">
        <v>3</v>
      </c>
      <c r="N23" s="11" t="n">
        <v>2</v>
      </c>
      <c r="O23" s="12">
        <f>'01_Master_Portfolio'!K23</f>
        <v/>
      </c>
    </row>
    <row r="24" ht="72" customHeight="1">
      <c r="A24" s="14" t="inlineStr">
        <is>
          <t>P20</t>
        </is>
      </c>
      <c r="B24" s="14" t="inlineStr">
        <is>
          <t>cyber-smb-shield</t>
        </is>
      </c>
      <c r="C24" s="14" t="inlineStr">
        <is>
          <t>Cyber / SMB</t>
        </is>
      </c>
      <c r="D24" s="15" t="inlineStr">
        <is>
          <t>AI cyber / managed services large and growing; SMB underserved.</t>
        </is>
      </c>
      <c r="E24" s="15" t="inlineStr">
        <is>
          <t>Huntress, CrowdStrike Falcon Go, local MSSPs, Microsoft 365 Defender</t>
        </is>
      </c>
      <c r="F24" s="15" t="inlineStr">
        <is>
          <t>Ransomware economics + insurance questionnaires.</t>
        </is>
      </c>
      <c r="G24" s="15" t="inlineStr">
        <is>
          <t>Liability, 24/7 expectations, capital</t>
        </is>
      </c>
      <c r="H24" s="15" t="inlineStr">
        <is>
          <t>MSSP attach rates rising globally</t>
        </is>
      </c>
      <c r="I24" s="15" t="inlineStr">
        <is>
          <t>Software-only score vs full MDR; India pricing</t>
        </is>
      </c>
      <c r="J24" s="11" t="n">
        <v>4</v>
      </c>
      <c r="K24" s="11" t="n">
        <v>3</v>
      </c>
      <c r="L24" s="11" t="n">
        <v>2</v>
      </c>
      <c r="M24" s="11" t="n">
        <v>2</v>
      </c>
      <c r="N24" s="11" t="n">
        <v>2</v>
      </c>
      <c r="O24" s="12">
        <f>'01_Master_Portfolio'!K24</f>
        <v/>
      </c>
    </row>
    <row r="25" ht="72" customHeight="1">
      <c r="A25" s="24" t="inlineStr">
        <is>
          <t>P21</t>
        </is>
      </c>
      <c r="B25" s="24" t="inlineStr">
        <is>
          <t>data-quality-guard</t>
        </is>
      </c>
      <c r="C25" s="24" t="inlineStr">
        <is>
          <t>Data Quality</t>
        </is>
      </c>
      <c r="D25" s="25" t="inlineStr">
        <is>
          <t>Data observability category established; mid-market gap on price.</t>
        </is>
      </c>
      <c r="E25" s="25" t="inlineStr">
        <is>
          <t>Monte Carlo, Soda, Great Expectations, Elementary, Anomalo</t>
        </is>
      </c>
      <c r="F25" s="25" t="inlineStr">
        <is>
          <t>AI features amplify bad data cost; still crowded.</t>
        </is>
      </c>
      <c r="G25" s="25" t="inlineStr">
        <is>
          <t>Hard to unseat; long enterprise sales</t>
        </is>
      </c>
      <c r="H25" s="25" t="inlineStr">
        <is>
          <t>Data downtime costly anecdotes everywhere</t>
        </is>
      </c>
      <c r="I25" s="25" t="inlineStr">
        <is>
          <t>Warehouse-native cheap tier for startups</t>
        </is>
      </c>
      <c r="J25" s="11" t="n">
        <v>3</v>
      </c>
      <c r="K25" s="11" t="n">
        <v>5</v>
      </c>
      <c r="L25" s="11" t="n">
        <v>3</v>
      </c>
      <c r="M25" s="11" t="n">
        <v>2</v>
      </c>
      <c r="N25" s="11" t="n">
        <v>2</v>
      </c>
      <c r="O25" s="12">
        <f>'01_Master_Portfolio'!K25</f>
        <v/>
      </c>
    </row>
    <row r="26" ht="72" customHeight="1">
      <c r="A26" s="14" t="inlineStr">
        <is>
          <t>P22</t>
        </is>
      </c>
      <c r="B26" s="14" t="inlineStr">
        <is>
          <t>care-companion</t>
        </is>
      </c>
      <c r="C26" s="14" t="inlineStr">
        <is>
          <t>Consumer Care</t>
        </is>
      </c>
      <c r="D26" s="15" t="inlineStr">
        <is>
          <t>Aging populations; family caregiving apps emerging globally.</t>
        </is>
      </c>
      <c r="E26" s="15" t="inlineStr">
        <is>
          <t>Lotsa, CareZone (hist), Google Keep/WhatsApp defaults</t>
        </is>
      </c>
      <c r="F26" s="15" t="inlineStr">
        <is>
          <t>Mobile-first families; still behavior change challenge.</t>
        </is>
      </c>
      <c r="G26" s="15" t="inlineStr">
        <is>
          <t>Consumer CAC, medical liability optics</t>
        </is>
      </c>
      <c r="H26" s="15" t="inlineStr">
        <is>
          <t>Caregiver stress widely documented</t>
        </is>
      </c>
      <c r="I26" s="15" t="inlineStr">
        <is>
          <t>India joint-family WA-first design interviews</t>
        </is>
      </c>
      <c r="J26" s="11" t="n">
        <v>3</v>
      </c>
      <c r="K26" s="11" t="n">
        <v>3</v>
      </c>
      <c r="L26" s="11" t="n">
        <v>3</v>
      </c>
      <c r="M26" s="11" t="n">
        <v>2</v>
      </c>
      <c r="N26" s="11" t="n">
        <v>2</v>
      </c>
      <c r="O26" s="12">
        <f>'01_Master_Portfolio'!K26</f>
        <v/>
      </c>
    </row>
    <row r="27" ht="72" customHeight="1">
      <c r="A27" s="24" t="inlineStr">
        <is>
          <t>P23</t>
        </is>
      </c>
      <c r="B27" s="24" t="inlineStr">
        <is>
          <t>personal-crm</t>
        </is>
      </c>
      <c r="C27" s="24" t="inlineStr">
        <is>
          <t>Personal CRM</t>
        </is>
      </c>
      <c r="D27" s="25" t="inlineStr">
        <is>
          <t>Indie personal CRM niche durable (Clay-like personal, Monica, etc.).</t>
        </is>
      </c>
      <c r="E27" s="25" t="inlineStr">
        <is>
          <t>Monica, Dex, Clay, Notion templates, Apple Contacts</t>
        </is>
      </c>
      <c r="F27" s="25" t="inlineStr">
        <is>
          <t>AI can draft follow-ups; privacy concerns rising.</t>
        </is>
      </c>
      <c r="G27" s="25" t="inlineStr">
        <is>
          <t>Habit formation; low willingness to pay</t>
        </is>
      </c>
      <c r="H27" s="25" t="inlineStr">
        <is>
          <t>Recurring indie launches with modest paid bases</t>
        </is>
      </c>
      <c r="I27" s="25" t="inlineStr">
        <is>
          <t>Local-first encrypted MVP interest</t>
        </is>
      </c>
      <c r="J27" s="11" t="n">
        <v>3</v>
      </c>
      <c r="K27" s="11" t="n">
        <v>4</v>
      </c>
      <c r="L27" s="11" t="n">
        <v>4</v>
      </c>
      <c r="M27" s="11" t="n">
        <v>3</v>
      </c>
      <c r="N27" s="11" t="n">
        <v>2</v>
      </c>
      <c r="O27" s="12">
        <f>'01_Master_Portfolio'!K27</f>
        <v/>
      </c>
    </row>
    <row r="28" ht="72" customHeight="1">
      <c r="A28" s="14" t="inlineStr">
        <is>
          <t>P24</t>
        </is>
      </c>
      <c r="B28" s="14" t="inlineStr">
        <is>
          <t>creator-ops</t>
        </is>
      </c>
      <c r="C28" s="14" t="inlineStr">
        <is>
          <t>Creator Ops</t>
        </is>
      </c>
      <c r="D28" s="15" t="inlineStr">
        <is>
          <t>Creator economy large; tools consolidating.</t>
        </is>
      </c>
      <c r="E28" s="15" t="inlineStr">
        <is>
          <t>Later, Notion, Hoppycopy, sponsor marketplaces, native suites</t>
        </is>
      </c>
      <c r="F28" s="15" t="inlineStr">
        <is>
          <t>Multi-platform creators need ops not just scheduling.</t>
        </is>
      </c>
      <c r="G28" s="15" t="inlineStr">
        <is>
          <t>Platform API limits; fashion-driven churn</t>
        </is>
      </c>
      <c r="H28" s="15" t="inlineStr">
        <is>
          <t>Agencies pay for ops; solo creators price-sensitive</t>
        </is>
      </c>
      <c r="I28" s="15" t="inlineStr">
        <is>
          <t>Agency multi-client mode first</t>
        </is>
      </c>
      <c r="J28" s="11" t="n">
        <v>3</v>
      </c>
      <c r="K28" s="11" t="n">
        <v>4</v>
      </c>
      <c r="L28" s="11" t="n">
        <v>3</v>
      </c>
      <c r="M28" s="11" t="n">
        <v>3</v>
      </c>
      <c r="N28" s="11" t="n">
        <v>2</v>
      </c>
      <c r="O28" s="12">
        <f>'01_Master_Portfolio'!K28</f>
        <v/>
      </c>
    </row>
    <row r="29" ht="72" customHeight="1">
      <c r="A29" s="24" t="inlineStr">
        <is>
          <t>P25</t>
        </is>
      </c>
      <c r="B29" s="24" t="inlineStr">
        <is>
          <t>climate-ops-meter</t>
        </is>
      </c>
      <c r="C29" s="24" t="inlineStr">
        <is>
          <t>Climate / ESG</t>
        </is>
      </c>
      <c r="D29" s="25" t="inlineStr">
        <is>
          <t>Carbon accounting software growing with regulation (EU CSRD ripple).</t>
        </is>
      </c>
      <c r="E29" s="25" t="inlineStr">
        <is>
          <t>Watershed, Persefoni, local consultancies, Excel</t>
        </is>
      </c>
      <c r="F29" s="25" t="inlineStr">
        <is>
          <t>Supply-chain pressure on Indian manufacturers/exporters.</t>
        </is>
      </c>
      <c r="G29" s="25" t="inlineStr">
        <is>
          <t>Methodology disputes; long sales; consulting hybrid</t>
        </is>
      </c>
      <c r="H29" s="25" t="inlineStr">
        <is>
          <t>Buyer questionnaires proliferating</t>
        </is>
      </c>
      <c r="I29" s="25" t="inlineStr">
        <is>
          <t>India exporter pilot with one industry body</t>
        </is>
      </c>
      <c r="J29" s="11" t="n">
        <v>3</v>
      </c>
      <c r="K29" s="11" t="n">
        <v>4</v>
      </c>
      <c r="L29" s="11" t="n">
        <v>2</v>
      </c>
      <c r="M29" s="11" t="n">
        <v>2</v>
      </c>
      <c r="N29" s="11" t="n">
        <v>2</v>
      </c>
      <c r="O29" s="12">
        <f>'01_Master_Portfolio'!K29</f>
        <v/>
      </c>
    </row>
    <row r="30" ht="72" customHeight="1">
      <c r="A30" s="14" t="inlineStr">
        <is>
          <t>P26</t>
        </is>
      </c>
      <c r="B30" s="14" t="inlineStr">
        <is>
          <t>supply-chain-visibility-lite</t>
        </is>
      </c>
      <c r="C30" s="14" t="inlineStr">
        <is>
          <t>Supply Chain</t>
        </is>
      </c>
      <c r="D30" s="15" t="inlineStr">
        <is>
          <t>Supply chain risk software large enterprise; SME gap remains.</t>
        </is>
      </c>
      <c r="E30" s="15" t="inlineStr">
        <is>
          <t>Resilinc, SAP Ariba, Excel + email</t>
        </is>
      </c>
      <c r="F30" s="15" t="inlineStr">
        <is>
          <t>Geopolitical risk awareness; still hard data problem.</t>
        </is>
      </c>
      <c r="G30" s="15" t="inlineStr">
        <is>
          <t>Chicken-egg supplier data; enterprise sales DNA</t>
        </is>
      </c>
      <c r="H30" s="15" t="inlineStr">
        <is>
          <t>Post-pandemic SC investment continued</t>
        </is>
      </c>
      <c r="I30" s="15" t="inlineStr">
        <is>
          <t>Narrow vertical (textiles/auto components India)</t>
        </is>
      </c>
      <c r="J30" s="11" t="n">
        <v>3</v>
      </c>
      <c r="K30" s="11" t="n">
        <v>3</v>
      </c>
      <c r="L30" s="11" t="n">
        <v>2</v>
      </c>
      <c r="M30" s="11" t="n">
        <v>2</v>
      </c>
      <c r="N30" s="11" t="n">
        <v>2</v>
      </c>
      <c r="O30" s="12">
        <f>'01_Master_Portfolio'!K30</f>
        <v/>
      </c>
    </row>
    <row r="31" ht="72" customHeight="1">
      <c r="A31" s="24" t="inlineStr">
        <is>
          <t>P27</t>
        </is>
      </c>
      <c r="B31" s="24" t="inlineStr">
        <is>
          <t>focus-forge</t>
        </is>
      </c>
      <c r="C31" s="24" t="inlineStr">
        <is>
          <t>Focus / Productivity Apps</t>
        </is>
      </c>
      <c r="D31" s="25" t="inlineStr">
        <is>
          <t>Huge consumer productivity market; retention brutal.</t>
        </is>
      </c>
      <c r="E31" s="25" t="inlineStr">
        <is>
          <t>Freedom, Cold Turkey, Opal, Forest, Notion habits</t>
        </is>
      </c>
      <c r="F31" s="25" t="inlineStr">
        <is>
          <t>AI review angle; still low moat.</t>
        </is>
      </c>
      <c r="G31" s="25" t="inlineStr">
        <is>
          <t>Commoditized, churn, platform policies</t>
        </is>
      </c>
      <c r="H31" s="25" t="inlineStr">
        <is>
          <t>Always demand for blockers; hard business</t>
        </is>
      </c>
      <c r="I31" s="25" t="inlineStr">
        <is>
          <t>Only if personal passion; else skip</t>
        </is>
      </c>
      <c r="J31" s="11" t="n">
        <v>3</v>
      </c>
      <c r="K31" s="11" t="n">
        <v>4</v>
      </c>
      <c r="L31" s="11" t="n">
        <v>4</v>
      </c>
      <c r="M31" s="11" t="n">
        <v>3</v>
      </c>
      <c r="N31" s="11" t="n">
        <v>1</v>
      </c>
      <c r="O31" s="12">
        <f>'01_Master_Portfolio'!K31</f>
        <v/>
      </c>
    </row>
    <row r="32" ht="72" customHeight="1">
      <c r="A32" s="14" t="inlineStr">
        <is>
          <t>P28</t>
        </is>
      </c>
      <c r="B32" s="14" t="inlineStr">
        <is>
          <t>api-contract-sentinel</t>
        </is>
      </c>
      <c r="C32" s="14" t="inlineStr">
        <is>
          <t>Dev Productivity / Quality</t>
        </is>
      </c>
      <c r="D32" s="15" t="inlineStr">
        <is>
          <t>API governance steady; platform teams buy.</t>
        </is>
      </c>
      <c r="E32" s="15" t="inlineStr">
        <is>
          <t>Optic, Stoplight, Spectral, Redocly, Apidog</t>
        </is>
      </c>
      <c r="F32" s="15" t="inlineStr">
        <is>
          <t>AI-generated APIs increase drift risk—possible wedge.</t>
        </is>
      </c>
      <c r="G32" s="15" t="inlineStr">
        <is>
          <t>Crowded open-source; monetization thin</t>
        </is>
      </c>
      <c r="H32" s="15" t="inlineStr">
        <is>
          <t>PR-time contract checks valued in platform eng</t>
        </is>
      </c>
      <c r="I32" s="15" t="inlineStr">
        <is>
          <t>AI-generated OpenAPI validation niche</t>
        </is>
      </c>
      <c r="J32" s="11" t="n">
        <v>3</v>
      </c>
      <c r="K32" s="11" t="n">
        <v>5</v>
      </c>
      <c r="L32" s="11" t="n">
        <v>3</v>
      </c>
      <c r="M32" s="11" t="n">
        <v>3</v>
      </c>
      <c r="N32" s="11" t="n">
        <v>2</v>
      </c>
      <c r="O32" s="12">
        <f>'01_Master_Portfolio'!K32</f>
        <v/>
      </c>
    </row>
    <row r="33" ht="72" customHeight="1">
      <c r="A33" s="24" t="inlineStr">
        <is>
          <t>P29</t>
        </is>
      </c>
      <c r="B33" s="24" t="inlineStr">
        <is>
          <t>agent-skill-scan</t>
        </is>
      </c>
      <c r="C33" s="24" t="inlineStr">
        <is>
          <t>AI Tooling / Security</t>
        </is>
      </c>
      <c r="D33" s="25" t="inlineStr">
        <is>
          <t>Agent supply-chain security exploding: Snyk ToxicSkills found 1,467 malicious skill payloads (Feb 2026); only 29% of orgs feel prepared to secure agentic AI.</t>
        </is>
      </c>
      <c r="E33" s="25" t="inlineStr">
        <is>
          <t>Snyk agent-scan (enterprise-flavored), mcp-scan, Cisco mcp-scanner; no indie npx-first scanner</t>
        </is>
      </c>
      <c r="F33" s="25" t="inlineStr">
        <is>
          <t>Fresh incident data (ToxicSkills, MCP F-grades) gives a free launch narrative; fear-driven shareability; window before incumbents move downmarket.</t>
        </is>
      </c>
      <c r="G33" s="25" t="inlineStr">
        <is>
          <t>Signature arms race; Snyk/vendors ship free equivalents; false-positive trust erosion</t>
        </is>
      </c>
      <c r="H33" s="25" t="inlineStr">
        <is>
          <t>ToxicSkills: 13.4% of 3,984 skills critical; MCP audit 71% F / 0% A; setup-doctor already parses agent configs</t>
        </is>
      </c>
      <c r="I33" s="25" t="inlineStr">
        <is>
          <t>Injection heuristic precision/recall on real skill corpus; CI action demand</t>
        </is>
      </c>
      <c r="J33" s="11" t="n">
        <v>5</v>
      </c>
      <c r="K33" s="11" t="n">
        <v>5</v>
      </c>
      <c r="L33" s="11" t="n">
        <v>5</v>
      </c>
      <c r="M33" s="11" t="n">
        <v>5</v>
      </c>
      <c r="N33" s="11" t="n">
        <v>3</v>
      </c>
      <c r="O33" s="12">
        <f>'01_Master_Portfolio'!K33</f>
        <v/>
      </c>
    </row>
    <row r="34" ht="72" customHeight="1">
      <c r="A34" s="14" t="inlineStr">
        <is>
          <t>P30</t>
        </is>
      </c>
      <c r="B34" s="14" t="inlineStr">
        <is>
          <t>agent-spend-guard</t>
        </is>
      </c>
      <c r="C34" s="14" t="inlineStr">
        <is>
          <t>AI Tooling / FinOps</t>
        </is>
      </c>
      <c r="D34" s="15" t="inlineStr">
        <is>
          <t>Token bill panic is existential (FinOps Foundation: teams 3x over 2026 budget by April); 85% of GenAI deployments run without observability.</t>
        </is>
      </c>
      <c r="E34" s="15" t="inlineStr">
        <is>
          <t>Vantage, Finout, Langfuse, LiteLLM proxy — all tracking/dashboards, none indie-sized enforcement</t>
        </is>
      </c>
      <c r="F34" s="15" t="inlineStr">
        <is>
          <t>Q2 2026 shift from 'go fast' to 'we need guardrails, how do we control this' (FinOps Foundation, TechCrunch Jun 2026).</t>
        </is>
      </c>
      <c r="G34" s="15" t="inlineStr">
        <is>
          <t>Anthropic/Cursor ship native budget caps; proxy trust barrier; per-seat WTP unproven</t>
        </is>
      </c>
      <c r="H34" s="15" t="inlineStr">
        <is>
          <t>TechCrunch token-bill reporting; Microsoft revoking Claude Code licenses; P05 research base</t>
        </is>
      </c>
      <c r="I34" s="15" t="inlineStr">
        <is>
          <t>Local wrapper vs proxy UX; eng-manager WTP interviews; which agents expose usage hooks</t>
        </is>
      </c>
      <c r="J34" s="11" t="n">
        <v>5</v>
      </c>
      <c r="K34" s="11" t="n">
        <v>5</v>
      </c>
      <c r="L34" s="11" t="n">
        <v>4</v>
      </c>
      <c r="M34" s="11" t="n">
        <v>4</v>
      </c>
      <c r="N34" s="11" t="n">
        <v>3</v>
      </c>
      <c r="O34" s="12">
        <f>'01_Master_Portfolio'!K34</f>
        <v/>
      </c>
    </row>
    <row r="35" ht="72" customHeight="1">
      <c r="A35" s="24" t="inlineStr">
        <is>
          <t>P31</t>
        </is>
      </c>
      <c r="B35" s="24" t="inlineStr">
        <is>
          <t>indic-voice-flow</t>
        </is>
      </c>
      <c r="C35" s="24" t="inlineStr">
        <is>
          <t>Consumer AI / Voice</t>
        </is>
      </c>
      <c r="D35" s="25" t="inlineStr">
        <is>
          <t>Wispr Flow at ~$10M ARR / $700M valuation validates paid dictation; Indic/Hinglish segment underserved and huge.</t>
        </is>
      </c>
      <c r="E35" s="25" t="inlineStr">
        <is>
          <t>Wispr Flow (English-first, $315M raised), Google voice typing (free), local IME apps</t>
        </is>
      </c>
      <c r="F35" s="25" t="inlineStr">
        <is>
          <t>ASR quality for code-switched speech crossed the usable threshold; willingness to pay proven by Wispr.</t>
        </is>
      </c>
      <c r="G35" s="25" t="inlineStr">
        <is>
          <t>Google free tier; consumer CAC/churn; ASR compute cost; big departure from zero-dep CLI muscle</t>
        </is>
      </c>
      <c r="H35" s="25" t="inlineStr">
        <is>
          <t>Wispr revenue/valuation; Whisper-class models handle Hinglish decently in 2026</t>
        </is>
      </c>
      <c r="I35" s="25" t="inlineStr">
        <is>
          <t>On-device vs cloud ASR unit economics; 20 interviews with lawyers/doctors/CAs; ₹ WTP</t>
        </is>
      </c>
      <c r="J35" s="11" t="n">
        <v>4</v>
      </c>
      <c r="K35" s="11" t="n">
        <v>4</v>
      </c>
      <c r="L35" s="11" t="n">
        <v>2</v>
      </c>
      <c r="M35" s="11" t="n">
        <v>3</v>
      </c>
      <c r="N35" s="11" t="n">
        <v>3</v>
      </c>
      <c r="O35" s="12">
        <f>'01_Master_Portfolio'!K35</f>
        <v/>
      </c>
    </row>
    <row r="36" ht="72" customHeight="1">
      <c r="A36" s="14" t="inlineStr">
        <is>
          <t>P32</t>
        </is>
      </c>
      <c r="B36" s="14" t="inlineStr">
        <is>
          <t>pr-triage</t>
        </is>
      </c>
      <c r="C36" s="14" t="inlineStr">
        <is>
          <t>Dev Productivity / Quality</t>
        </is>
      </c>
      <c r="D36" s="15" t="inlineStr">
        <is>
          <t>Review burden reversed the 2024 pattern; trust in AI output fell to 29% — triage is the bottleneck, not generation.</t>
        </is>
      </c>
      <c r="E36" s="15" t="inlineStr">
        <is>
          <t>CodeRabbit, Greptile, GitHub Copilot code review, Graphite — all full reviewers, none pure triage</t>
        </is>
      </c>
      <c r="F36" s="15" t="inlineStr">
        <is>
          <t>Review fatigue is a top-3 2026 developer pain and still underserved as a ranking (not reviewing) problem.</t>
        </is>
      </c>
      <c r="G36" s="15" t="inlineStr">
        <is>
          <t>Well-funded incumbents add triage as a feature; thin moat</t>
        </is>
      </c>
      <c r="H36" s="15" t="inlineStr">
        <is>
          <t>2026 dev pain surveys (11.4h review, 75% more logic errors in AI PRs)</t>
        </is>
      </c>
      <c r="I36" s="15" t="inlineStr">
        <is>
          <t>Hunk-level risk scoring accuracy; whether teams want ranking vs another reviewer</t>
        </is>
      </c>
      <c r="J36" s="11" t="n">
        <v>5</v>
      </c>
      <c r="K36" s="11" t="n">
        <v>5</v>
      </c>
      <c r="L36" s="11" t="n">
        <v>3</v>
      </c>
      <c r="M36" s="11" t="n">
        <v>3</v>
      </c>
      <c r="N36" s="11" t="n">
        <v>2</v>
      </c>
      <c r="O36" s="12">
        <f>'01_Master_Portfolio'!K36</f>
        <v/>
      </c>
    </row>
  </sheetData>
  <autoFilter ref="A4:O36"/>
  <mergeCells count="1">
    <mergeCell ref="A1:O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6" customWidth="1" min="3" max="3"/>
    <col width="6" customWidth="1" min="4" max="4"/>
    <col width="9" customWidth="1" min="5" max="5"/>
    <col width="6" customWidth="1" min="6" max="6"/>
    <col width="9" customWidth="1" min="7" max="7"/>
    <col width="6" customWidth="1" min="8" max="8"/>
    <col width="10" customWidth="1" min="9" max="9"/>
    <col width="42" customWidth="1" min="10" max="10"/>
    <col width="32" customWidth="1" min="11" max="11"/>
    <col width="20" customWidth="1" min="12" max="12"/>
    <col width="10" customWidth="1" min="13" max="13"/>
    <col width="32" customWidth="1" min="14" max="14"/>
    <col width="18" customWidth="1" min="15" max="15"/>
  </cols>
  <sheetData>
    <row r="1">
      <c r="A1" s="1" t="inlineStr">
        <is>
          <t>Build &amp; Delivery Matrix</t>
        </is>
      </c>
    </row>
    <row r="2">
      <c r="A2" s="7" t="inlineStr">
        <is>
          <t>Platform flags derived from opportunity design. MVP and stack are starting recommendations.</t>
        </is>
      </c>
    </row>
    <row r="4">
      <c r="A4" s="8" t="inlineStr">
        <is>
          <t>ID</t>
        </is>
      </c>
      <c r="B4" s="8" t="inlineStr">
        <is>
          <t>Name</t>
        </is>
      </c>
      <c r="C4" s="8" t="inlineStr">
        <is>
          <t>CLI</t>
        </is>
      </c>
      <c r="D4" s="8" t="inlineStr">
        <is>
          <t>Web</t>
        </is>
      </c>
      <c r="E4" s="8" t="inlineStr">
        <is>
          <t>Android</t>
        </is>
      </c>
      <c r="F4" s="8" t="inlineStr">
        <is>
          <t>iOS</t>
        </is>
      </c>
      <c r="G4" s="8" t="inlineStr">
        <is>
          <t>Desktop</t>
        </is>
      </c>
      <c r="H4" s="8" t="inlineStr">
        <is>
          <t>API</t>
        </is>
      </c>
      <c r="I4" s="8" t="inlineStr">
        <is>
          <t>Extension</t>
        </is>
      </c>
      <c r="J4" s="8" t="inlineStr">
        <is>
          <t>MVP scope</t>
        </is>
      </c>
      <c r="K4" s="8" t="inlineStr">
        <is>
          <t>Suggested stack</t>
        </is>
      </c>
      <c r="L4" s="8" t="inlineStr">
        <is>
          <t>Repo name</t>
        </is>
      </c>
      <c r="M4" s="8" t="inlineStr">
        <is>
          <t>Est. weeks</t>
        </is>
      </c>
      <c r="N4" s="8" t="inlineStr">
        <is>
          <t>Delivery notes</t>
        </is>
      </c>
      <c r="O4" s="8" t="inlineStr">
        <is>
          <t>Platforms (summary)</t>
        </is>
      </c>
    </row>
    <row r="5" ht="56" customHeight="1">
      <c r="A5" s="26" t="inlineStr">
        <is>
          <t>P01</t>
        </is>
      </c>
      <c r="B5" s="26" t="inlineStr">
        <is>
          <t>instruct-sync</t>
        </is>
      </c>
      <c r="C5" s="11" t="inlineStr">
        <is>
          <t>Y</t>
        </is>
      </c>
      <c r="D5" s="27" t="inlineStr">
        <is>
          <t>—</t>
        </is>
      </c>
      <c r="E5" s="27" t="inlineStr">
        <is>
          <t>—</t>
        </is>
      </c>
      <c r="F5" s="27" t="inlineStr">
        <is>
          <t>—</t>
        </is>
      </c>
      <c r="G5" s="27" t="inlineStr">
        <is>
          <t>—</t>
        </is>
      </c>
      <c r="H5" s="27" t="inlineStr">
        <is>
          <t>—</t>
        </is>
      </c>
      <c r="I5" s="27" t="inlineStr">
        <is>
          <t>—</t>
        </is>
      </c>
      <c r="J5" s="10" t="inlineStr">
        <is>
          <t>status/diff/sync/validate/init across 7+ agents; dry-run default; --json</t>
        </is>
      </c>
      <c r="K5" s="10" t="inlineStr">
        <is>
          <t>TypeScript, Node 20+, zero runtime deps, vitest</t>
        </is>
      </c>
      <c r="L5" s="9" t="inlineStr">
        <is>
          <t>instruct-sync</t>
        </is>
      </c>
      <c r="M5" s="11" t="n">
        <v>2</v>
      </c>
      <c r="N5" s="10" t="inlineStr">
        <is>
          <t>Already shipping; focus on agents, lint, team mode</t>
        </is>
      </c>
      <c r="O5" s="9" t="inlineStr">
        <is>
          <t>CLI</t>
        </is>
      </c>
    </row>
    <row r="6" ht="56" customHeight="1">
      <c r="A6" s="26" t="inlineStr">
        <is>
          <t>P02</t>
        </is>
      </c>
      <c r="B6" s="26" t="inlineStr">
        <is>
          <t>ai-setup-doctor</t>
        </is>
      </c>
      <c r="C6" s="11" t="inlineStr">
        <is>
          <t>Y</t>
        </is>
      </c>
      <c r="D6" s="27" t="inlineStr">
        <is>
          <t>—</t>
        </is>
      </c>
      <c r="E6" s="27" t="inlineStr">
        <is>
          <t>—</t>
        </is>
      </c>
      <c r="F6" s="27" t="inlineStr">
        <is>
          <t>—</t>
        </is>
      </c>
      <c r="G6" s="27" t="inlineStr">
        <is>
          <t>—</t>
        </is>
      </c>
      <c r="H6" s="27" t="inlineStr">
        <is>
          <t>—</t>
        </is>
      </c>
      <c r="I6" s="27" t="inlineStr">
        <is>
          <t>—</t>
        </is>
      </c>
      <c r="J6" s="10" t="inlineStr">
        <is>
          <t>check (default), --json, --strict, --cwd; core agent/MCP/secret checks</t>
        </is>
      </c>
      <c r="K6" s="10" t="inlineStr">
        <is>
          <t>TypeScript, Node, CLI</t>
        </is>
      </c>
      <c r="L6" s="9" t="inlineStr">
        <is>
          <t>ai-setup-doctor</t>
        </is>
      </c>
      <c r="M6" s="11" t="n">
        <v>1</v>
      </c>
      <c r="N6" s="10" t="inlineStr">
        <is>
          <t>Publish to npm; couple with instruct-sync funnel</t>
        </is>
      </c>
      <c r="O6" s="9" t="inlineStr">
        <is>
          <t>CLI</t>
        </is>
      </c>
    </row>
    <row r="7" ht="56" customHeight="1">
      <c r="A7" s="26" t="inlineStr">
        <is>
          <t>P03</t>
        </is>
      </c>
      <c r="B7" s="26" t="inlineStr">
        <is>
          <t>mcp-sync</t>
        </is>
      </c>
      <c r="C7" s="11" t="inlineStr">
        <is>
          <t>Y</t>
        </is>
      </c>
      <c r="D7" s="27" t="inlineStr">
        <is>
          <t>—</t>
        </is>
      </c>
      <c r="E7" s="27" t="inlineStr">
        <is>
          <t>—</t>
        </is>
      </c>
      <c r="F7" s="27" t="inlineStr">
        <is>
          <t>—</t>
        </is>
      </c>
      <c r="G7" s="27" t="inlineStr">
        <is>
          <t>—</t>
        </is>
      </c>
      <c r="H7" s="11" t="inlineStr">
        <is>
          <t>Y</t>
        </is>
      </c>
      <c r="I7" s="27" t="inlineStr">
        <is>
          <t>—</t>
        </is>
      </c>
      <c r="J7" s="10" t="inlineStr">
        <is>
          <t>status/diff/sync for 4 clients; secret redaction; dry-run</t>
        </is>
      </c>
      <c r="K7" s="10" t="inlineStr">
        <is>
          <t>TypeScript CLI; shared libs with instruct-sync</t>
        </is>
      </c>
      <c r="L7" s="9" t="inlineStr">
        <is>
          <t>mcp-sync</t>
        </is>
      </c>
      <c r="M7" s="11" t="n">
        <v>3</v>
      </c>
      <c r="N7" s="10" t="inlineStr">
        <is>
          <t>Shipped; grow adoption alongside instruct-sync funnel</t>
        </is>
      </c>
      <c r="O7" s="9" t="inlineStr">
        <is>
          <t>CLI,API</t>
        </is>
      </c>
    </row>
    <row r="8" ht="56" customHeight="1">
      <c r="A8" s="26" t="inlineStr">
        <is>
          <t>P04</t>
        </is>
      </c>
      <c r="B8" s="26" t="inlineStr">
        <is>
          <t>secret-guard</t>
        </is>
      </c>
      <c r="C8" s="11" t="inlineStr">
        <is>
          <t>Y</t>
        </is>
      </c>
      <c r="D8" s="27" t="inlineStr">
        <is>
          <t>—</t>
        </is>
      </c>
      <c r="E8" s="27" t="inlineStr">
        <is>
          <t>—</t>
        </is>
      </c>
      <c r="F8" s="27" t="inlineStr">
        <is>
          <t>—</t>
        </is>
      </c>
      <c r="G8" s="27" t="inlineStr">
        <is>
          <t>—</t>
        </is>
      </c>
      <c r="H8" s="11" t="inlineStr">
        <is>
          <t>Y</t>
        </is>
      </c>
      <c r="I8" s="11" t="inlineStr">
        <is>
          <t>Y</t>
        </is>
      </c>
      <c r="J8" s="10" t="inlineStr">
        <is>
          <t>Scan agent dirs + MCP JSON; pre-commit hook; SARIF output</t>
        </is>
      </c>
      <c r="K8" s="10" t="inlineStr">
        <is>
          <t>Go or Rust scanner core + TS wrapper; or pure TS</t>
        </is>
      </c>
      <c r="L8" s="9" t="inlineStr">
        <is>
          <t>secret-guard</t>
        </is>
      </c>
      <c r="M8" s="11" t="n">
        <v>4</v>
      </c>
      <c r="N8" s="10" t="inlineStr">
        <is>
          <t>Start as setup-doctor module; split when traction</t>
        </is>
      </c>
      <c r="O8" s="9" t="inlineStr">
        <is>
          <t>CLI,Extension,API</t>
        </is>
      </c>
    </row>
    <row r="9" ht="56" customHeight="1">
      <c r="A9" s="26" t="inlineStr">
        <is>
          <t>P05</t>
        </is>
      </c>
      <c r="B9" s="26" t="inlineStr">
        <is>
          <t>llm-spend</t>
        </is>
      </c>
      <c r="C9" s="11" t="inlineStr">
        <is>
          <t>Y</t>
        </is>
      </c>
      <c r="D9" s="11" t="inlineStr">
        <is>
          <t>Y</t>
        </is>
      </c>
      <c r="E9" s="27" t="inlineStr">
        <is>
          <t>—</t>
        </is>
      </c>
      <c r="F9" s="27" t="inlineStr">
        <is>
          <t>—</t>
        </is>
      </c>
      <c r="G9" s="27" t="inlineStr">
        <is>
          <t>—</t>
        </is>
      </c>
      <c r="H9" s="11" t="inlineStr">
        <is>
          <t>Y</t>
        </is>
      </c>
      <c r="I9" s="27" t="inlineStr">
        <is>
          <t>—</t>
        </is>
      </c>
      <c r="J9" s="10" t="inlineStr">
        <is>
          <t>Proxy + per-key budgets + simple dashboard + alerts</t>
        </is>
      </c>
      <c r="K9" s="10" t="inlineStr">
        <is>
          <t>TS (Hono/Fastify), Postgres, React, provider SDKs</t>
        </is>
      </c>
      <c r="L9" s="9" t="inlineStr">
        <is>
          <t>llm-spend</t>
        </is>
      </c>
      <c r="M9" s="11" t="n">
        <v>8</v>
      </c>
      <c r="N9" s="10" t="inlineStr">
        <is>
          <t>Larger surface; not NOW unless paid design partner</t>
        </is>
      </c>
      <c r="O9" s="9" t="inlineStr">
        <is>
          <t>Web,API,CLI</t>
        </is>
      </c>
    </row>
    <row r="10" ht="56" customHeight="1">
      <c r="A10" s="26" t="inlineStr">
        <is>
          <t>P06</t>
        </is>
      </c>
      <c r="B10" s="26" t="inlineStr">
        <is>
          <t>skill-sync</t>
        </is>
      </c>
      <c r="C10" s="11" t="inlineStr">
        <is>
          <t>Y</t>
        </is>
      </c>
      <c r="D10" s="11" t="inlineStr">
        <is>
          <t>Y</t>
        </is>
      </c>
      <c r="E10" s="27" t="inlineStr">
        <is>
          <t>—</t>
        </is>
      </c>
      <c r="F10" s="27" t="inlineStr">
        <is>
          <t>—</t>
        </is>
      </c>
      <c r="G10" s="27" t="inlineStr">
        <is>
          <t>—</t>
        </is>
      </c>
      <c r="H10" s="11" t="inlineStr">
        <is>
          <t>Y</t>
        </is>
      </c>
      <c r="I10" s="27" t="inlineStr">
        <is>
          <t>—</t>
        </is>
      </c>
      <c r="J10" s="10" t="inlineStr">
        <is>
          <t>Skill package schema + install/publish CLI + private registry</t>
        </is>
      </c>
      <c r="K10" s="10" t="inlineStr">
        <is>
          <t>TS CLI + simple registry (S3 + metadata DB)</t>
        </is>
      </c>
      <c r="L10" s="9" t="inlineStr">
        <is>
          <t>skill-sync</t>
        </is>
      </c>
      <c r="M10" s="11" t="n">
        <v>10</v>
      </c>
      <c r="N10" s="10" t="inlineStr">
        <is>
          <t>LATER after instruct/mcp patterns proven</t>
        </is>
      </c>
      <c r="O10" s="9" t="inlineStr">
        <is>
          <t>CLI,API,Web</t>
        </is>
      </c>
    </row>
    <row r="11" ht="56" customHeight="1">
      <c r="A11" s="26" t="inlineStr">
        <is>
          <t>P07</t>
        </is>
      </c>
      <c r="B11" s="26" t="inlineStr">
        <is>
          <t>shadow-AI</t>
        </is>
      </c>
      <c r="C11" s="27" t="inlineStr">
        <is>
          <t>—</t>
        </is>
      </c>
      <c r="D11" s="11" t="inlineStr">
        <is>
          <t>Y</t>
        </is>
      </c>
      <c r="E11" s="27" t="inlineStr">
        <is>
          <t>—</t>
        </is>
      </c>
      <c r="F11" s="27" t="inlineStr">
        <is>
          <t>—</t>
        </is>
      </c>
      <c r="G11" s="27" t="inlineStr">
        <is>
          <t>—</t>
        </is>
      </c>
      <c r="H11" s="11" t="inlineStr">
        <is>
          <t>Y</t>
        </is>
      </c>
      <c r="I11" s="11" t="inlineStr">
        <is>
          <t>Y</t>
        </is>
      </c>
      <c r="J11" s="10" t="inlineStr">
        <is>
          <t>Browser extension + domain allowlist + admin dashboard (pilot)</t>
        </is>
      </c>
      <c r="K11" s="10" t="inlineStr">
        <is>
          <t>Chrome ext, Node API, React admin</t>
        </is>
      </c>
      <c r="L11" s="9" t="inlineStr">
        <is>
          <t>shadow-ai</t>
        </is>
      </c>
      <c r="M11" s="11" t="n">
        <v>12</v>
      </c>
      <c r="N11" s="10" t="inlineStr">
        <is>
          <t>PARK for solo; partner or later</t>
        </is>
      </c>
      <c r="O11" s="9" t="inlineStr">
        <is>
          <t>Web,Extension,API</t>
        </is>
      </c>
    </row>
    <row r="12" ht="56" customHeight="1">
      <c r="A12" s="26" t="inlineStr">
        <is>
          <t>P08</t>
        </is>
      </c>
      <c r="B12" s="26" t="inlineStr">
        <is>
          <t>eval-harness</t>
        </is>
      </c>
      <c r="C12" s="11" t="inlineStr">
        <is>
          <t>Y</t>
        </is>
      </c>
      <c r="D12" s="11" t="inlineStr">
        <is>
          <t>Y</t>
        </is>
      </c>
      <c r="E12" s="27" t="inlineStr">
        <is>
          <t>—</t>
        </is>
      </c>
      <c r="F12" s="27" t="inlineStr">
        <is>
          <t>—</t>
        </is>
      </c>
      <c r="G12" s="27" t="inlineStr">
        <is>
          <t>—</t>
        </is>
      </c>
      <c r="H12" s="11" t="inlineStr">
        <is>
          <t>Y</t>
        </is>
      </c>
      <c r="I12" s="27" t="inlineStr">
        <is>
          <t>—</t>
        </is>
      </c>
      <c r="J12" s="10" t="inlineStr">
        <is>
          <t>YAML cases, multi-provider run, score thresholds, GitHub Action</t>
        </is>
      </c>
      <c r="K12" s="10" t="inlineStr">
        <is>
          <t>Python or TS CLI + optional dashboard</t>
        </is>
      </c>
      <c r="L12" s="9" t="inlineStr">
        <is>
          <t>eval-harness</t>
        </is>
      </c>
      <c r="M12" s="11" t="n">
        <v>6</v>
      </c>
      <c r="N12" s="10" t="inlineStr">
        <is>
          <t>NEXT if design partner; else watch</t>
        </is>
      </c>
      <c r="O12" s="9" t="inlineStr">
        <is>
          <t>CLI,API,Web</t>
        </is>
      </c>
    </row>
    <row r="13" ht="56" customHeight="1">
      <c r="A13" s="26" t="inlineStr">
        <is>
          <t>P09</t>
        </is>
      </c>
      <c r="B13" s="26" t="inlineStr">
        <is>
          <t>auth-anomaly-radar</t>
        </is>
      </c>
      <c r="C13" s="27" t="inlineStr">
        <is>
          <t>—</t>
        </is>
      </c>
      <c r="D13" s="11" t="inlineStr">
        <is>
          <t>Y</t>
        </is>
      </c>
      <c r="E13" s="27" t="inlineStr">
        <is>
          <t>—</t>
        </is>
      </c>
      <c r="F13" s="27" t="inlineStr">
        <is>
          <t>—</t>
        </is>
      </c>
      <c r="G13" s="27" t="inlineStr">
        <is>
          <t>—</t>
        </is>
      </c>
      <c r="H13" s="11" t="inlineStr">
        <is>
          <t>Y</t>
        </is>
      </c>
      <c r="I13" s="27" t="inlineStr">
        <is>
          <t>—</t>
        </is>
      </c>
      <c r="J13" s="10" t="inlineStr">
        <is>
          <t>Ingest login events → risk score → Slack/webhook</t>
        </is>
      </c>
      <c r="K13" s="10" t="inlineStr">
        <is>
          <t>Python/Go service, Postgres, React</t>
        </is>
      </c>
      <c r="L13" s="9" t="inlineStr">
        <is>
          <t>auth-anomaly-radar</t>
        </is>
      </c>
      <c r="M13" s="11" t="n">
        <v>10</v>
      </c>
      <c r="N13" s="10" t="inlineStr">
        <is>
          <t>LATER; needs trust + data</t>
        </is>
      </c>
      <c r="O13" s="9" t="inlineStr">
        <is>
          <t>API,Web</t>
        </is>
      </c>
    </row>
    <row r="14" ht="56" customHeight="1">
      <c r="A14" s="26" t="inlineStr">
        <is>
          <t>P10</t>
        </is>
      </c>
      <c r="B14" s="26" t="inlineStr">
        <is>
          <t>fraud-signal-kit</t>
        </is>
      </c>
      <c r="C14" s="27" t="inlineStr">
        <is>
          <t>—</t>
        </is>
      </c>
      <c r="D14" s="27" t="inlineStr">
        <is>
          <t>—</t>
        </is>
      </c>
      <c r="E14" s="27" t="inlineStr">
        <is>
          <t>—</t>
        </is>
      </c>
      <c r="F14" s="27" t="inlineStr">
        <is>
          <t>—</t>
        </is>
      </c>
      <c r="G14" s="27" t="inlineStr">
        <is>
          <t>—</t>
        </is>
      </c>
      <c r="H14" s="11" t="inlineStr">
        <is>
          <t>Y</t>
        </is>
      </c>
      <c r="I14" s="27" t="inlineStr">
        <is>
          <t>—</t>
        </is>
      </c>
      <c r="J14" s="10" t="inlineStr">
        <is>
          <t>3 signals (email, velocity, device fingerprint lite) + sandbox</t>
        </is>
      </c>
      <c r="K14" s="10" t="inlineStr">
        <is>
          <t>Go API, Redis, Postgres</t>
        </is>
      </c>
      <c r="L14" s="9" t="inlineStr">
        <is>
          <t>fraud-signal-kit</t>
        </is>
      </c>
      <c r="M14" s="11" t="n">
        <v>16</v>
      </c>
      <c r="N14" s="10" t="inlineStr">
        <is>
          <t>PARK solo without partners</t>
        </is>
      </c>
      <c r="O14" s="9" t="inlineStr">
        <is>
          <t>API</t>
        </is>
      </c>
    </row>
    <row r="15" ht="56" customHeight="1">
      <c r="A15" s="26" t="inlineStr">
        <is>
          <t>P11</t>
        </is>
      </c>
      <c r="B15" s="26" t="inlineStr">
        <is>
          <t>cloud-waste-radar</t>
        </is>
      </c>
      <c r="C15" s="11" t="inlineStr">
        <is>
          <t>Y</t>
        </is>
      </c>
      <c r="D15" s="11" t="inlineStr">
        <is>
          <t>Y</t>
        </is>
      </c>
      <c r="E15" s="27" t="inlineStr">
        <is>
          <t>—</t>
        </is>
      </c>
      <c r="F15" s="27" t="inlineStr">
        <is>
          <t>—</t>
        </is>
      </c>
      <c r="G15" s="27" t="inlineStr">
        <is>
          <t>—</t>
        </is>
      </c>
      <c r="H15" s="11" t="inlineStr">
        <is>
          <t>Y</t>
        </is>
      </c>
      <c r="I15" s="27" t="inlineStr">
        <is>
          <t>—</t>
        </is>
      </c>
      <c r="J15" s="10" t="inlineStr">
        <is>
          <t>AWS read-only connector + idle resource report + Slack digest</t>
        </is>
      </c>
      <c r="K15" s="10" t="inlineStr">
        <is>
          <t>Python, AWS SDK, Next.js</t>
        </is>
      </c>
      <c r="L15" s="9" t="inlineStr">
        <is>
          <t>cloud-waste-radar</t>
        </is>
      </c>
      <c r="M15" s="11" t="n">
        <v>8</v>
      </c>
      <c r="N15" s="10" t="inlineStr">
        <is>
          <t>LATER unless clear niche</t>
        </is>
      </c>
      <c r="O15" s="9" t="inlineStr">
        <is>
          <t>Web,CLI,API</t>
        </is>
      </c>
    </row>
    <row r="16" ht="56" customHeight="1">
      <c r="A16" s="26" t="inlineStr">
        <is>
          <t>P12</t>
        </is>
      </c>
      <c r="B16" s="26" t="inlineStr">
        <is>
          <t>dev-onboard-os</t>
        </is>
      </c>
      <c r="C16" s="11" t="inlineStr">
        <is>
          <t>Y</t>
        </is>
      </c>
      <c r="D16" s="11" t="inlineStr">
        <is>
          <t>Y</t>
        </is>
      </c>
      <c r="E16" s="27" t="inlineStr">
        <is>
          <t>—</t>
        </is>
      </c>
      <c r="F16" s="27" t="inlineStr">
        <is>
          <t>—</t>
        </is>
      </c>
      <c r="G16" s="27" t="inlineStr">
        <is>
          <t>—</t>
        </is>
      </c>
      <c r="H16" s="27" t="inlineStr">
        <is>
          <t>—</t>
        </is>
      </c>
      <c r="I16" s="27" t="inlineStr">
        <is>
          <t>—</t>
        </is>
      </c>
      <c r="J16" s="10" t="inlineStr">
        <is>
          <t>Checklist product + golden path CLI + progress for managers</t>
        </is>
      </c>
      <c r="K16" s="10" t="inlineStr">
        <is>
          <t>Next.js, Postgres, integrations (GitHub, Slack)</t>
        </is>
      </c>
      <c r="L16" s="9" t="inlineStr">
        <is>
          <t>dev-onboard-os</t>
        </is>
      </c>
      <c r="M16" s="11" t="n">
        <v>10</v>
      </c>
      <c r="N16" s="10" t="inlineStr">
        <is>
          <t>Tie to setup-doctor for AI-era wedge later</t>
        </is>
      </c>
      <c r="O16" s="9" t="inlineStr">
        <is>
          <t>Web,CLI</t>
        </is>
      </c>
    </row>
    <row r="17" ht="56" customHeight="1">
      <c r="A17" s="26" t="inlineStr">
        <is>
          <t>P13</t>
        </is>
      </c>
      <c r="B17" s="26" t="inlineStr">
        <is>
          <t>sbom-lite</t>
        </is>
      </c>
      <c r="C17" s="11" t="inlineStr">
        <is>
          <t>Y</t>
        </is>
      </c>
      <c r="D17" s="27" t="inlineStr">
        <is>
          <t>—</t>
        </is>
      </c>
      <c r="E17" s="27" t="inlineStr">
        <is>
          <t>—</t>
        </is>
      </c>
      <c r="F17" s="27" t="inlineStr">
        <is>
          <t>—</t>
        </is>
      </c>
      <c r="G17" s="27" t="inlineStr">
        <is>
          <t>—</t>
        </is>
      </c>
      <c r="H17" s="11" t="inlineStr">
        <is>
          <t>Y</t>
        </is>
      </c>
      <c r="I17" s="27" t="inlineStr">
        <is>
          <t>—</t>
        </is>
      </c>
      <c r="J17" s="10" t="inlineStr">
        <is>
          <t>One-command SBOM + PR comment + fail on license/CVE policy</t>
        </is>
      </c>
      <c r="K17" s="10" t="inlineStr">
        <is>
          <t>Go CLI wrapping standards; GitHub Action</t>
        </is>
      </c>
      <c r="L17" s="9" t="inlineStr">
        <is>
          <t>sbom-lite</t>
        </is>
      </c>
      <c r="M17" s="11" t="n">
        <v>6</v>
      </c>
      <c r="N17" s="10" t="inlineStr">
        <is>
          <t>LATER OSS brand play</t>
        </is>
      </c>
      <c r="O17" s="9" t="inlineStr">
        <is>
          <t>CLI,API</t>
        </is>
      </c>
    </row>
    <row r="18" ht="56" customHeight="1">
      <c r="A18" s="26" t="inlineStr">
        <is>
          <t>P14</t>
        </is>
      </c>
      <c r="B18" s="26" t="inlineStr">
        <is>
          <t>grc-evidence-autopilot</t>
        </is>
      </c>
      <c r="C18" s="27" t="inlineStr">
        <is>
          <t>—</t>
        </is>
      </c>
      <c r="D18" s="11" t="inlineStr">
        <is>
          <t>Y</t>
        </is>
      </c>
      <c r="E18" s="27" t="inlineStr">
        <is>
          <t>—</t>
        </is>
      </c>
      <c r="F18" s="27" t="inlineStr">
        <is>
          <t>—</t>
        </is>
      </c>
      <c r="G18" s="27" t="inlineStr">
        <is>
          <t>—</t>
        </is>
      </c>
      <c r="H18" s="11" t="inlineStr">
        <is>
          <t>Y</t>
        </is>
      </c>
      <c r="I18" s="27" t="inlineStr">
        <is>
          <t>—</t>
        </is>
      </c>
      <c r="J18" s="10" t="inlineStr">
        <is>
          <t>Integrations (AWS, GitHub, Google) + control map + auditor share link</t>
        </is>
      </c>
      <c r="K18" s="10" t="inlineStr">
        <is>
          <t>Next.js, workers, encrypted store</t>
        </is>
      </c>
      <c r="L18" s="9" t="inlineStr">
        <is>
          <t>grc-evidence-autopilot</t>
        </is>
      </c>
      <c r="M18" s="11" t="n">
        <v>16</v>
      </c>
      <c r="N18" s="10" t="inlineStr">
        <is>
          <t>PARK unless India DPDP-specific wedge</t>
        </is>
      </c>
      <c r="O18" s="9" t="inlineStr">
        <is>
          <t>Web,API</t>
        </is>
      </c>
    </row>
    <row r="19" ht="56" customHeight="1">
      <c r="A19" s="26" t="inlineStr">
        <is>
          <t>P15</t>
        </is>
      </c>
      <c r="B19" s="26" t="inlineStr">
        <is>
          <t>wa-ops-desk</t>
        </is>
      </c>
      <c r="C19" s="27" t="inlineStr">
        <is>
          <t>—</t>
        </is>
      </c>
      <c r="D19" s="11" t="inlineStr">
        <is>
          <t>Y</t>
        </is>
      </c>
      <c r="E19" s="11" t="inlineStr">
        <is>
          <t>Y</t>
        </is>
      </c>
      <c r="F19" s="27" t="inlineStr">
        <is>
          <t>—</t>
        </is>
      </c>
      <c r="G19" s="27" t="inlineStr">
        <is>
          <t>—</t>
        </is>
      </c>
      <c r="H19" s="11" t="inlineStr">
        <is>
          <t>Y</t>
        </is>
      </c>
      <c r="I19" s="27" t="inlineStr">
        <is>
          <t>—</t>
        </is>
      </c>
      <c r="J19" s="10" t="inlineStr">
        <is>
          <t>Shared inbox + labels + quick replies + 1 catalog flow</t>
        </is>
      </c>
      <c r="K19" s="10" t="inlineStr">
        <is>
          <t>Next.js, WhatsApp Cloud API, Postgres, Razorpay</t>
        </is>
      </c>
      <c r="L19" s="9" t="inlineStr">
        <is>
          <t>wa-ops-desk</t>
        </is>
      </c>
      <c r="M19" s="11" t="n">
        <v>10</v>
      </c>
      <c r="N19" s="10" t="inlineStr">
        <is>
          <t>NEXT if India GTM bandwidth</t>
        </is>
      </c>
      <c r="O19" s="9" t="inlineStr">
        <is>
          <t>Web,Android,API</t>
        </is>
      </c>
    </row>
    <row r="20" ht="56" customHeight="1">
      <c r="A20" s="26" t="inlineStr">
        <is>
          <t>P16</t>
        </is>
      </c>
      <c r="B20" s="26" t="inlineStr">
        <is>
          <t>gst-ops-copilot</t>
        </is>
      </c>
      <c r="C20" s="27" t="inlineStr">
        <is>
          <t>—</t>
        </is>
      </c>
      <c r="D20" s="11" t="inlineStr">
        <is>
          <t>Y</t>
        </is>
      </c>
      <c r="E20" s="27" t="inlineStr">
        <is>
          <t>—</t>
        </is>
      </c>
      <c r="F20" s="27" t="inlineStr">
        <is>
          <t>—</t>
        </is>
      </c>
      <c r="G20" s="27" t="inlineStr">
        <is>
          <t>—</t>
        </is>
      </c>
      <c r="H20" s="11" t="inlineStr">
        <is>
          <t>Y</t>
        </is>
      </c>
      <c r="I20" s="27" t="inlineStr">
        <is>
          <t>—</t>
        </is>
      </c>
      <c r="J20" s="10" t="inlineStr">
        <is>
          <t>Invoice OCR + mismatch checklist + export for CA</t>
        </is>
      </c>
      <c r="K20" s="10" t="inlineStr">
        <is>
          <t>Python OCR/LLM, Next.js, secure storage</t>
        </is>
      </c>
      <c r="L20" s="9" t="inlineStr">
        <is>
          <t>gst-ops-copilot</t>
        </is>
      </c>
      <c r="M20" s="11" t="n">
        <v>14</v>
      </c>
      <c r="N20" s="10" t="inlineStr">
        <is>
          <t>LATER/domain partner</t>
        </is>
      </c>
      <c r="O20" s="9" t="inlineStr">
        <is>
          <t>Web,API</t>
        </is>
      </c>
    </row>
    <row r="21" ht="56" customHeight="1">
      <c r="A21" s="26" t="inlineStr">
        <is>
          <t>P17</t>
        </is>
      </c>
      <c r="B21" s="26" t="inlineStr">
        <is>
          <t>appt-book-india</t>
        </is>
      </c>
      <c r="C21" s="27" t="inlineStr">
        <is>
          <t>—</t>
        </is>
      </c>
      <c r="D21" s="11" t="inlineStr">
        <is>
          <t>Y</t>
        </is>
      </c>
      <c r="E21" s="11" t="inlineStr">
        <is>
          <t>Y</t>
        </is>
      </c>
      <c r="F21" s="27" t="inlineStr">
        <is>
          <t>—</t>
        </is>
      </c>
      <c r="G21" s="27" t="inlineStr">
        <is>
          <t>—</t>
        </is>
      </c>
      <c r="H21" s="11" t="inlineStr">
        <is>
          <t>Y</t>
        </is>
      </c>
      <c r="I21" s="27" t="inlineStr">
        <is>
          <t>—</t>
        </is>
      </c>
      <c r="J21" s="10" t="inlineStr">
        <is>
          <t>Public booking page + staff calendar + WA reminder via Cloud API</t>
        </is>
      </c>
      <c r="K21" s="10" t="inlineStr">
        <is>
          <t>Next.js, Postgres, WA API, Razorpay deposits optional</t>
        </is>
      </c>
      <c r="L21" s="9" t="inlineStr">
        <is>
          <t>appt-book-india</t>
        </is>
      </c>
      <c r="M21" s="11" t="n">
        <v>6</v>
      </c>
      <c r="N21" s="10" t="inlineStr">
        <is>
          <t>NEXT India track candidate</t>
        </is>
      </c>
      <c r="O21" s="9" t="inlineStr">
        <is>
          <t>Web,Android,API</t>
        </is>
      </c>
    </row>
    <row r="22" ht="56" customHeight="1">
      <c r="A22" s="26" t="inlineStr">
        <is>
          <t>P18</t>
        </is>
      </c>
      <c r="B22" s="26" t="inlineStr">
        <is>
          <t>clinic-admin-lite</t>
        </is>
      </c>
      <c r="C22" s="27" t="inlineStr">
        <is>
          <t>—</t>
        </is>
      </c>
      <c r="D22" s="11" t="inlineStr">
        <is>
          <t>Y</t>
        </is>
      </c>
      <c r="E22" s="11" t="inlineStr">
        <is>
          <t>Y</t>
        </is>
      </c>
      <c r="F22" s="27" t="inlineStr">
        <is>
          <t>—</t>
        </is>
      </c>
      <c r="G22" s="27" t="inlineStr">
        <is>
          <t>—</t>
        </is>
      </c>
      <c r="H22" s="27" t="inlineStr">
        <is>
          <t>—</t>
        </is>
      </c>
      <c r="I22" s="27" t="inlineStr">
        <is>
          <t>—</t>
        </is>
      </c>
      <c r="J22" s="10" t="inlineStr">
        <is>
          <t>Patients + appts + basic billing + WA reminder</t>
        </is>
      </c>
      <c r="K22" s="10" t="inlineStr">
        <is>
          <t>Next.js/Flutter, Postgres, encryption at rest</t>
        </is>
      </c>
      <c r="L22" s="9" t="inlineStr">
        <is>
          <t>clinic-admin-lite</t>
        </is>
      </c>
      <c r="M22" s="11" t="n">
        <v>12</v>
      </c>
      <c r="N22" s="10" t="inlineStr">
        <is>
          <t>LATER after appt-book learns domain</t>
        </is>
      </c>
      <c r="O22" s="9" t="inlineStr">
        <is>
          <t>Web,Android</t>
        </is>
      </c>
    </row>
    <row r="23" ht="56" customHeight="1">
      <c r="A23" s="26" t="inlineStr">
        <is>
          <t>P19</t>
        </is>
      </c>
      <c r="B23" s="26" t="inlineStr">
        <is>
          <t>learn-loop</t>
        </is>
      </c>
      <c r="C23" s="27" t="inlineStr">
        <is>
          <t>—</t>
        </is>
      </c>
      <c r="D23" s="11" t="inlineStr">
        <is>
          <t>Y</t>
        </is>
      </c>
      <c r="E23" s="11" t="inlineStr">
        <is>
          <t>Y</t>
        </is>
      </c>
      <c r="F23" s="11" t="inlineStr">
        <is>
          <t>Y</t>
        </is>
      </c>
      <c r="G23" s="27" t="inlineStr">
        <is>
          <t>—</t>
        </is>
      </c>
      <c r="H23" s="27" t="inlineStr">
        <is>
          <t>—</t>
        </is>
      </c>
      <c r="I23" s="27" t="inlineStr">
        <is>
          <t>—</t>
        </is>
      </c>
      <c r="J23" s="10" t="inlineStr">
        <is>
          <t>Classes + assignments + SRS deck + parent WA digest</t>
        </is>
      </c>
      <c r="K23" s="10" t="inlineStr">
        <is>
          <t>Flutter + Firebase or Next.js</t>
        </is>
      </c>
      <c r="L23" s="9" t="inlineStr">
        <is>
          <t>learn-loop</t>
        </is>
      </c>
      <c r="M23" s="11" t="n">
        <v>10</v>
      </c>
      <c r="N23" s="10" t="inlineStr">
        <is>
          <t>PARK unless passion domain</t>
        </is>
      </c>
      <c r="O23" s="9" t="inlineStr">
        <is>
          <t>Web,Android,iOS</t>
        </is>
      </c>
    </row>
    <row r="24" ht="56" customHeight="1">
      <c r="A24" s="26" t="inlineStr">
        <is>
          <t>P20</t>
        </is>
      </c>
      <c r="B24" s="26" t="inlineStr">
        <is>
          <t>cyber-smb-shield</t>
        </is>
      </c>
      <c r="C24" s="27" t="inlineStr">
        <is>
          <t>—</t>
        </is>
      </c>
      <c r="D24" s="11" t="inlineStr">
        <is>
          <t>Y</t>
        </is>
      </c>
      <c r="E24" s="27" t="inlineStr">
        <is>
          <t>—</t>
        </is>
      </c>
      <c r="F24" s="27" t="inlineStr">
        <is>
          <t>—</t>
        </is>
      </c>
      <c r="G24" s="27" t="inlineStr">
        <is>
          <t>—</t>
        </is>
      </c>
      <c r="H24" s="11" t="inlineStr">
        <is>
          <t>Y</t>
        </is>
      </c>
      <c r="I24" s="27" t="inlineStr">
        <is>
          <t>—</t>
        </is>
      </c>
      <c r="J24" s="10" t="inlineStr">
        <is>
          <t>Security score questionnaire + phishing sim + DNS blocklist SaaS</t>
        </is>
      </c>
      <c r="K24" s="10" t="inlineStr">
        <is>
          <t>Next.js + third-party DNS/email APIs</t>
        </is>
      </c>
      <c r="L24" s="9" t="inlineStr">
        <is>
          <t>cyber-smb-shield</t>
        </is>
      </c>
      <c r="M24" s="11" t="n">
        <v>12</v>
      </c>
      <c r="N24" s="10" t="inlineStr">
        <is>
          <t>PARK without security partner</t>
        </is>
      </c>
      <c r="O24" s="9" t="inlineStr">
        <is>
          <t>Web,API</t>
        </is>
      </c>
    </row>
    <row r="25" ht="56" customHeight="1">
      <c r="A25" s="26" t="inlineStr">
        <is>
          <t>P21</t>
        </is>
      </c>
      <c r="B25" s="26" t="inlineStr">
        <is>
          <t>data-quality-guard</t>
        </is>
      </c>
      <c r="C25" s="11" t="inlineStr">
        <is>
          <t>Y</t>
        </is>
      </c>
      <c r="D25" s="11" t="inlineStr">
        <is>
          <t>Y</t>
        </is>
      </c>
      <c r="E25" s="27" t="inlineStr">
        <is>
          <t>—</t>
        </is>
      </c>
      <c r="F25" s="27" t="inlineStr">
        <is>
          <t>—</t>
        </is>
      </c>
      <c r="G25" s="27" t="inlineStr">
        <is>
          <t>—</t>
        </is>
      </c>
      <c r="H25" s="11" t="inlineStr">
        <is>
          <t>Y</t>
        </is>
      </c>
      <c r="I25" s="27" t="inlineStr">
        <is>
          <t>—</t>
        </is>
      </c>
      <c r="J25" s="10" t="inlineStr">
        <is>
          <t>SQL expectation YAML + dbt/Airflow hooks + Slack</t>
        </is>
      </c>
      <c r="K25" s="10" t="inlineStr">
        <is>
          <t>Python, SQL engines, Next.js light UI</t>
        </is>
      </c>
      <c r="L25" s="9" t="inlineStr">
        <is>
          <t>data-quality-guard</t>
        </is>
      </c>
      <c r="M25" s="11" t="n">
        <v>10</v>
      </c>
      <c r="N25" s="10" t="inlineStr">
        <is>
          <t>PARK unless unique AI-data angle</t>
        </is>
      </c>
      <c r="O25" s="9" t="inlineStr">
        <is>
          <t>CLI,API,Web</t>
        </is>
      </c>
    </row>
    <row r="26" ht="56" customHeight="1">
      <c r="A26" s="26" t="inlineStr">
        <is>
          <t>P22</t>
        </is>
      </c>
      <c r="B26" s="26" t="inlineStr">
        <is>
          <t>care-companion</t>
        </is>
      </c>
      <c r="C26" s="27" t="inlineStr">
        <is>
          <t>—</t>
        </is>
      </c>
      <c r="D26" s="11" t="inlineStr">
        <is>
          <t>Y</t>
        </is>
      </c>
      <c r="E26" s="11" t="inlineStr">
        <is>
          <t>Y</t>
        </is>
      </c>
      <c r="F26" s="11" t="inlineStr">
        <is>
          <t>Y</t>
        </is>
      </c>
      <c r="G26" s="27" t="inlineStr">
        <is>
          <t>—</t>
        </is>
      </c>
      <c r="H26" s="27" t="inlineStr">
        <is>
          <t>—</t>
        </is>
      </c>
      <c r="I26" s="27" t="inlineStr">
        <is>
          <t>—</t>
        </is>
      </c>
      <c r="J26" s="10" t="inlineStr">
        <is>
          <t>Shared list + med reminders + appt calendar for 1 family</t>
        </is>
      </c>
      <c r="K26" s="10" t="inlineStr">
        <is>
          <t>Flutter, Firebase</t>
        </is>
      </c>
      <c r="L26" s="9" t="inlineStr">
        <is>
          <t>care-companion</t>
        </is>
      </c>
      <c r="M26" s="11" t="n">
        <v>10</v>
      </c>
      <c r="N26" s="10" t="inlineStr">
        <is>
          <t>PARK consumer</t>
        </is>
      </c>
      <c r="O26" s="9" t="inlineStr">
        <is>
          <t>iOS,Android,Web</t>
        </is>
      </c>
    </row>
    <row r="27" ht="56" customHeight="1">
      <c r="A27" s="26" t="inlineStr">
        <is>
          <t>P23</t>
        </is>
      </c>
      <c r="B27" s="26" t="inlineStr">
        <is>
          <t>personal-crm</t>
        </is>
      </c>
      <c r="C27" s="27" t="inlineStr">
        <is>
          <t>—</t>
        </is>
      </c>
      <c r="D27" s="11" t="inlineStr">
        <is>
          <t>Y</t>
        </is>
      </c>
      <c r="E27" s="27" t="inlineStr">
        <is>
          <t>—</t>
        </is>
      </c>
      <c r="F27" s="11" t="inlineStr">
        <is>
          <t>Y</t>
        </is>
      </c>
      <c r="G27" s="11" t="inlineStr">
        <is>
          <t>Y</t>
        </is>
      </c>
      <c r="H27" s="27" t="inlineStr">
        <is>
          <t>—</t>
        </is>
      </c>
      <c r="I27" s="27" t="inlineStr">
        <is>
          <t>—</t>
        </is>
      </c>
      <c r="J27" s="10" t="inlineStr">
        <is>
          <t>People + interactions + remind + import contacts</t>
        </is>
      </c>
      <c r="K27" s="10" t="inlineStr">
        <is>
          <t>Local-first (SQLite) + optional sync; Tauri/Next</t>
        </is>
      </c>
      <c r="L27" s="9" t="inlineStr">
        <is>
          <t>personal-crm</t>
        </is>
      </c>
      <c r="M27" s="11" t="n">
        <v>6</v>
      </c>
      <c r="N27" s="10" t="inlineStr">
        <is>
          <t>Side project LATER</t>
        </is>
      </c>
      <c r="O27" s="9" t="inlineStr">
        <is>
          <t>Web,iOS,Desktop</t>
        </is>
      </c>
    </row>
    <row r="28" ht="56" customHeight="1">
      <c r="A28" s="26" t="inlineStr">
        <is>
          <t>P24</t>
        </is>
      </c>
      <c r="B28" s="26" t="inlineStr">
        <is>
          <t>creator-ops</t>
        </is>
      </c>
      <c r="C28" s="27" t="inlineStr">
        <is>
          <t>—</t>
        </is>
      </c>
      <c r="D28" s="11" t="inlineStr">
        <is>
          <t>Y</t>
        </is>
      </c>
      <c r="E28" s="27" t="inlineStr">
        <is>
          <t>—</t>
        </is>
      </c>
      <c r="F28" s="27" t="inlineStr">
        <is>
          <t>—</t>
        </is>
      </c>
      <c r="G28" s="27" t="inlineStr">
        <is>
          <t>—</t>
        </is>
      </c>
      <c r="H28" s="27" t="inlineStr">
        <is>
          <t>—</t>
        </is>
      </c>
      <c r="I28" s="27" t="inlineStr">
        <is>
          <t>—</t>
        </is>
      </c>
      <c r="J28" s="10" t="inlineStr">
        <is>
          <t>Calendar + sponsor pipeline + asset links</t>
        </is>
      </c>
      <c r="K28" s="10" t="inlineStr">
        <is>
          <t>Next.js, Postgres</t>
        </is>
      </c>
      <c r="L28" s="9" t="inlineStr">
        <is>
          <t>creator-ops</t>
        </is>
      </c>
      <c r="M28" s="11" t="n">
        <v>8</v>
      </c>
      <c r="N28" s="10" t="inlineStr">
        <is>
          <t>LATER</t>
        </is>
      </c>
      <c r="O28" s="9" t="inlineStr">
        <is>
          <t>Web</t>
        </is>
      </c>
    </row>
    <row r="29" ht="56" customHeight="1">
      <c r="A29" s="26" t="inlineStr">
        <is>
          <t>P25</t>
        </is>
      </c>
      <c r="B29" s="26" t="inlineStr">
        <is>
          <t>climate-ops-meter</t>
        </is>
      </c>
      <c r="C29" s="27" t="inlineStr">
        <is>
          <t>—</t>
        </is>
      </c>
      <c r="D29" s="11" t="inlineStr">
        <is>
          <t>Y</t>
        </is>
      </c>
      <c r="E29" s="27" t="inlineStr">
        <is>
          <t>—</t>
        </is>
      </c>
      <c r="F29" s="27" t="inlineStr">
        <is>
          <t>—</t>
        </is>
      </c>
      <c r="G29" s="27" t="inlineStr">
        <is>
          <t>—</t>
        </is>
      </c>
      <c r="H29" s="27" t="inlineStr">
        <is>
          <t>—</t>
        </is>
      </c>
      <c r="I29" s="27" t="inlineStr">
        <is>
          <t>—</t>
        </is>
      </c>
      <c r="J29" s="10" t="inlineStr">
        <is>
          <t>Activity data forms + emission factors + PDF report</t>
        </is>
      </c>
      <c r="K29" s="10" t="inlineStr">
        <is>
          <t>Next.js, Postgres, factor DB</t>
        </is>
      </c>
      <c r="L29" s="9" t="inlineStr">
        <is>
          <t>climate-ops-meter</t>
        </is>
      </c>
      <c r="M29" s="11" t="n">
        <v>12</v>
      </c>
      <c r="N29" s="10" t="inlineStr">
        <is>
          <t>PARK without domain partner</t>
        </is>
      </c>
      <c r="O29" s="9" t="inlineStr">
        <is>
          <t>Web</t>
        </is>
      </c>
    </row>
    <row r="30" ht="56" customHeight="1">
      <c r="A30" s="26" t="inlineStr">
        <is>
          <t>P26</t>
        </is>
      </c>
      <c r="B30" s="26" t="inlineStr">
        <is>
          <t>supply-chain-visibility-lite</t>
        </is>
      </c>
      <c r="C30" s="27" t="inlineStr">
        <is>
          <t>—</t>
        </is>
      </c>
      <c r="D30" s="11" t="inlineStr">
        <is>
          <t>Y</t>
        </is>
      </c>
      <c r="E30" s="27" t="inlineStr">
        <is>
          <t>—</t>
        </is>
      </c>
      <c r="F30" s="27" t="inlineStr">
        <is>
          <t>—</t>
        </is>
      </c>
      <c r="G30" s="27" t="inlineStr">
        <is>
          <t>—</t>
        </is>
      </c>
      <c r="H30" s="11" t="inlineStr">
        <is>
          <t>Y</t>
        </is>
      </c>
      <c r="I30" s="27" t="inlineStr">
        <is>
          <t>—</t>
        </is>
      </c>
      <c r="J30" s="10" t="inlineStr">
        <is>
          <t>Supplier directory + status check-ins + risk tags</t>
        </is>
      </c>
      <c r="K30" s="10" t="inlineStr">
        <is>
          <t>Next.js, Postgres, WhatsApp check-in bots</t>
        </is>
      </c>
      <c r="L30" s="9" t="inlineStr">
        <is>
          <t>sc-visibility-lite</t>
        </is>
      </c>
      <c r="M30" s="11" t="n">
        <v>14</v>
      </c>
      <c r="N30" s="10" t="inlineStr">
        <is>
          <t>PARK</t>
        </is>
      </c>
      <c r="O30" s="9" t="inlineStr">
        <is>
          <t>Web,API</t>
        </is>
      </c>
    </row>
    <row r="31" ht="56" customHeight="1">
      <c r="A31" s="26" t="inlineStr">
        <is>
          <t>P27</t>
        </is>
      </c>
      <c r="B31" s="26" t="inlineStr">
        <is>
          <t>focus-forge</t>
        </is>
      </c>
      <c r="C31" s="27" t="inlineStr">
        <is>
          <t>—</t>
        </is>
      </c>
      <c r="D31" s="27" t="inlineStr">
        <is>
          <t>—</t>
        </is>
      </c>
      <c r="E31" s="27" t="inlineStr">
        <is>
          <t>—</t>
        </is>
      </c>
      <c r="F31" s="11" t="inlineStr">
        <is>
          <t>Y</t>
        </is>
      </c>
      <c r="G31" s="11" t="inlineStr">
        <is>
          <t>Y</t>
        </is>
      </c>
      <c r="H31" s="27" t="inlineStr">
        <is>
          <t>—</t>
        </is>
      </c>
      <c r="I31" s="11" t="inlineStr">
        <is>
          <t>Y</t>
        </is>
      </c>
      <c r="J31" s="10" t="inlineStr">
        <is>
          <t>Browser extension blocker + session log + weekly AI recap</t>
        </is>
      </c>
      <c r="K31" s="10" t="inlineStr">
        <is>
          <t>Chrome ext + optional Electron</t>
        </is>
      </c>
      <c r="L31" s="9" t="inlineStr">
        <is>
          <t>focus-forge</t>
        </is>
      </c>
      <c r="M31" s="11" t="n">
        <v>5</v>
      </c>
      <c r="N31" s="10" t="inlineStr">
        <is>
          <t>PARK</t>
        </is>
      </c>
      <c r="O31" s="9" t="inlineStr">
        <is>
          <t>Desktop,Extension,iOS</t>
        </is>
      </c>
    </row>
    <row r="32" ht="56" customHeight="1">
      <c r="A32" s="26" t="inlineStr">
        <is>
          <t>P28</t>
        </is>
      </c>
      <c r="B32" s="26" t="inlineStr">
        <is>
          <t>api-contract-sentinel</t>
        </is>
      </c>
      <c r="C32" s="11" t="inlineStr">
        <is>
          <t>Y</t>
        </is>
      </c>
      <c r="D32" s="27" t="inlineStr">
        <is>
          <t>—</t>
        </is>
      </c>
      <c r="E32" s="27" t="inlineStr">
        <is>
          <t>—</t>
        </is>
      </c>
      <c r="F32" s="27" t="inlineStr">
        <is>
          <t>—</t>
        </is>
      </c>
      <c r="G32" s="27" t="inlineStr">
        <is>
          <t>—</t>
        </is>
      </c>
      <c r="H32" s="11" t="inlineStr">
        <is>
          <t>Y</t>
        </is>
      </c>
      <c r="I32" s="11" t="inlineStr">
        <is>
          <t>Y</t>
        </is>
      </c>
      <c r="J32" s="10" t="inlineStr">
        <is>
          <t>OpenAPI diff in GitHub Action + break level + owners notify</t>
        </is>
      </c>
      <c r="K32" s="10" t="inlineStr">
        <is>
          <t>TypeScript/Go, GitHub App</t>
        </is>
      </c>
      <c r="L32" s="9" t="inlineStr">
        <is>
          <t>api-contract-sentinel</t>
        </is>
      </c>
      <c r="M32" s="11" t="n">
        <v>6</v>
      </c>
      <c r="N32" s="10" t="inlineStr">
        <is>
          <t>LATER OSS brand</t>
        </is>
      </c>
      <c r="O32" s="9" t="inlineStr">
        <is>
          <t>CLI,API,Extension</t>
        </is>
      </c>
    </row>
    <row r="33" ht="56" customHeight="1">
      <c r="A33" s="26" t="inlineStr">
        <is>
          <t>P29</t>
        </is>
      </c>
      <c r="B33" s="26" t="inlineStr">
        <is>
          <t>agent-skill-scan</t>
        </is>
      </c>
      <c r="C33" s="11" t="inlineStr">
        <is>
          <t>Y</t>
        </is>
      </c>
      <c r="D33" s="27" t="inlineStr">
        <is>
          <t>—</t>
        </is>
      </c>
      <c r="E33" s="27" t="inlineStr">
        <is>
          <t>—</t>
        </is>
      </c>
      <c r="F33" s="27" t="inlineStr">
        <is>
          <t>—</t>
        </is>
      </c>
      <c r="G33" s="27" t="inlineStr">
        <is>
          <t>—</t>
        </is>
      </c>
      <c r="H33" s="11" t="inlineStr">
        <is>
          <t>Y</t>
        </is>
      </c>
      <c r="I33" s="27" t="inlineStr">
        <is>
          <t>—</t>
        </is>
      </c>
      <c r="J33" s="10" t="inlineStr">
        <is>
          <t>npx scan of skills/MCP/rules dirs; injection + exfil heuristics; severity report; --json/SARIF</t>
        </is>
      </c>
      <c r="K33" s="10" t="inlineStr">
        <is>
          <t>TypeScript, Node 20+, zero deps; shared parsers with setup-doctor</t>
        </is>
      </c>
      <c r="L33" s="9" t="inlineStr">
        <is>
          <t>agent-skill-scan</t>
        </is>
      </c>
      <c r="M33" s="11" t="n">
        <v>3</v>
      </c>
      <c r="N33" s="10" t="inlineStr">
        <is>
          <t>Build from setup-doctor secret-check module; ship while the wave is hot; absorbs P04 scope</t>
        </is>
      </c>
      <c r="O33" s="9" t="inlineStr">
        <is>
          <t>CLI,API</t>
        </is>
      </c>
    </row>
    <row r="34" ht="56" customHeight="1">
      <c r="A34" s="26" t="inlineStr">
        <is>
          <t>P30</t>
        </is>
      </c>
      <c r="B34" s="26" t="inlineStr">
        <is>
          <t>agent-spend-guard</t>
        </is>
      </c>
      <c r="C34" s="11" t="inlineStr">
        <is>
          <t>Y</t>
        </is>
      </c>
      <c r="D34" s="11" t="inlineStr">
        <is>
          <t>Y</t>
        </is>
      </c>
      <c r="E34" s="27" t="inlineStr">
        <is>
          <t>—</t>
        </is>
      </c>
      <c r="F34" s="27" t="inlineStr">
        <is>
          <t>—</t>
        </is>
      </c>
      <c r="G34" s="27" t="inlineStr">
        <is>
          <t>—</t>
        </is>
      </c>
      <c r="H34" s="11" t="inlineStr">
        <is>
          <t>Y</t>
        </is>
      </c>
      <c r="I34" s="27" t="inlineStr">
        <is>
          <t>—</t>
        </is>
      </c>
      <c r="J34" s="10" t="inlineStr">
        <is>
          <t>Local usage meter + budget config + warn/stop thresholds + Slack alert; Claude Code &amp; Cursor first</t>
        </is>
      </c>
      <c r="K34" s="10" t="inlineStr">
        <is>
          <t>TypeScript CLI + lightweight proxy; optional dashboard later</t>
        </is>
      </c>
      <c r="L34" s="9" t="inlineStr">
        <is>
          <t>agent-spend-guard</t>
        </is>
      </c>
      <c r="M34" s="11" t="n">
        <v>4</v>
      </c>
      <c r="N34" s="10" t="inlineStr">
        <is>
          <t>The money product of the suite; free solo meter drives paid team budgets</t>
        </is>
      </c>
      <c r="O34" s="9" t="inlineStr">
        <is>
          <t>CLI,API,Web</t>
        </is>
      </c>
    </row>
    <row r="35" ht="56" customHeight="1">
      <c r="A35" s="26" t="inlineStr">
        <is>
          <t>P31</t>
        </is>
      </c>
      <c r="B35" s="26" t="inlineStr">
        <is>
          <t>indic-voice-flow</t>
        </is>
      </c>
      <c r="C35" s="27" t="inlineStr">
        <is>
          <t>—</t>
        </is>
      </c>
      <c r="D35" s="27" t="inlineStr">
        <is>
          <t>—</t>
        </is>
      </c>
      <c r="E35" s="11" t="inlineStr">
        <is>
          <t>Y</t>
        </is>
      </c>
      <c r="F35" s="11" t="inlineStr">
        <is>
          <t>Y</t>
        </is>
      </c>
      <c r="G35" s="11" t="inlineStr">
        <is>
          <t>Y</t>
        </is>
      </c>
      <c r="H35" s="27" t="inlineStr">
        <is>
          <t>—</t>
        </is>
      </c>
      <c r="I35" s="27" t="inlineStr">
        <is>
          <t>—</t>
        </is>
      </c>
      <c r="J35" s="10" t="inlineStr">
        <is>
          <t>Mac/Windows dictation hotkey + LLM Hinglish cleanup; Android keyboard phase 2</t>
        </is>
      </c>
      <c r="K35" s="10" t="inlineStr">
        <is>
          <t>Whisper-class ASR + LLM post-processing; Swift/Kotlin shells</t>
        </is>
      </c>
      <c r="L35" s="9" t="inlineStr">
        <is>
          <t>indic-voice-flow</t>
        </is>
      </c>
      <c r="M35" s="11" t="n">
        <v>12</v>
      </c>
      <c r="N35" s="10" t="inlineStr">
        <is>
          <t>NEXT, not NOW: park until suite compounds or a cofounder owns it; closed source</t>
        </is>
      </c>
      <c r="O35" s="9" t="inlineStr">
        <is>
          <t>Desktop,Android,iOS</t>
        </is>
      </c>
    </row>
    <row r="36" ht="56" customHeight="1">
      <c r="A36" s="26" t="inlineStr">
        <is>
          <t>P32</t>
        </is>
      </c>
      <c r="B36" s="26" t="inlineStr">
        <is>
          <t>pr-triage</t>
        </is>
      </c>
      <c r="C36" s="11" t="inlineStr">
        <is>
          <t>Y</t>
        </is>
      </c>
      <c r="D36" s="27" t="inlineStr">
        <is>
          <t>—</t>
        </is>
      </c>
      <c r="E36" s="27" t="inlineStr">
        <is>
          <t>—</t>
        </is>
      </c>
      <c r="F36" s="27" t="inlineStr">
        <is>
          <t>—</t>
        </is>
      </c>
      <c r="G36" s="27" t="inlineStr">
        <is>
          <t>—</t>
        </is>
      </c>
      <c r="H36" s="11" t="inlineStr">
        <is>
          <t>Y</t>
        </is>
      </c>
      <c r="I36" s="11" t="inlineStr">
        <is>
          <t>Y</t>
        </is>
      </c>
      <c r="J36" s="10" t="inlineStr">
        <is>
          <t>CLI + GitHub Action: rank hunks by blast radius, coverage gaps, AI-origin heuristics</t>
        </is>
      </c>
      <c r="K36" s="10" t="inlineStr">
        <is>
          <t>TypeScript + AST diff analysis; optional LLM assist</t>
        </is>
      </c>
      <c r="L36" s="9" t="inlineStr">
        <is>
          <t>pr-triage</t>
        </is>
      </c>
      <c r="M36" s="11" t="n">
        <v>6</v>
      </c>
      <c r="N36" s="10" t="inlineStr">
        <is>
          <t>Watch; build only if P29/P30 traction frees capacity</t>
        </is>
      </c>
      <c r="O36" s="9" t="inlineStr">
        <is>
          <t>CLI,API,Extension</t>
        </is>
      </c>
    </row>
  </sheetData>
  <autoFilter ref="A4:O36"/>
  <mergeCells count="1">
    <mergeCell ref="A1:O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22" customWidth="1" min="3" max="3"/>
    <col width="36" customWidth="1" min="4" max="4"/>
    <col width="36" customWidth="1" min="5" max="5"/>
    <col width="36" customWidth="1" min="6" max="6"/>
    <col width="16" customWidth="1" min="7" max="7"/>
    <col width="16" customWidth="1" min="8" max="8"/>
    <col width="12" customWidth="1" min="9" max="9"/>
    <col width="12" customWidth="1" min="10" max="10"/>
  </cols>
  <sheetData>
    <row r="1">
      <c r="A1" s="1" t="inlineStr">
        <is>
          <t>Monetization &amp; GTM</t>
        </is>
      </c>
    </row>
    <row r="2">
      <c r="A2" s="7" t="inlineStr">
        <is>
          <t>ICP, pricing, and go-to-market per opportunity. Priority/TOTAL linked to Master.</t>
        </is>
      </c>
    </row>
    <row r="4">
      <c r="A4" s="8" t="inlineStr">
        <is>
          <t>ID</t>
        </is>
      </c>
      <c r="B4" s="8" t="inlineStr">
        <is>
          <t>Name</t>
        </is>
      </c>
      <c r="C4" s="8" t="inlineStr">
        <is>
          <t>Category</t>
        </is>
      </c>
      <c r="D4" s="8" t="inlineStr">
        <is>
          <t>ICP</t>
        </is>
      </c>
      <c r="E4" s="8" t="inlineStr">
        <is>
          <t>Pricing hypothesis</t>
        </is>
      </c>
      <c r="F4" s="8" t="inlineStr">
        <is>
          <t>GTM motion</t>
        </is>
      </c>
      <c r="G4" s="8" t="inlineStr">
        <is>
          <t>Revenue model</t>
        </is>
      </c>
      <c r="H4" s="8" t="inlineStr">
        <is>
          <t>ARPU hint</t>
        </is>
      </c>
      <c r="I4" s="8" t="inlineStr">
        <is>
          <t>Priority (link)</t>
        </is>
      </c>
      <c r="J4" s="8" t="inlineStr">
        <is>
          <t>TOTAL (link)</t>
        </is>
      </c>
    </row>
    <row r="5" ht="56" customHeight="1">
      <c r="A5" s="9" t="inlineStr">
        <is>
          <t>P01</t>
        </is>
      </c>
      <c r="B5" s="9" t="inlineStr">
        <is>
          <t>instruct-sync</t>
        </is>
      </c>
      <c r="C5" s="9" t="inlineStr">
        <is>
          <t>AI Tooling</t>
        </is>
      </c>
      <c r="D5" s="10" t="inlineStr">
        <is>
          <t>Indie/pro AI-assisted developers; later eng leads at multi-agent shops</t>
        </is>
      </c>
      <c r="E5" s="10" t="inlineStr">
        <is>
          <t>OSS free; optional Pro team sync + policy ($8–15/dev/mo later)</t>
        </is>
      </c>
      <c r="F5" s="10" t="inlineStr">
        <is>
          <t>npx, Show HN, r/cursor, X, npm, directories, compare posts</t>
        </is>
      </c>
      <c r="G5" s="9" t="inlineStr">
        <is>
          <t>Open core → team SaaS</t>
        </is>
      </c>
      <c r="H5" s="28" t="inlineStr">
        <is>
          <t>$0 OSS; $10–20/seat Pro (est.)</t>
        </is>
      </c>
      <c r="I5" s="12">
        <f>'01_Master_Portfolio'!L5</f>
        <v/>
      </c>
      <c r="J5" s="12">
        <f>'01_Master_Portfolio'!K5</f>
        <v/>
      </c>
    </row>
    <row r="6" ht="56" customHeight="1">
      <c r="A6" s="14" t="inlineStr">
        <is>
          <t>P02</t>
        </is>
      </c>
      <c r="B6" s="14" t="inlineStr">
        <is>
          <t>ai-setup-doctor</t>
        </is>
      </c>
      <c r="C6" s="14" t="inlineStr">
        <is>
          <t>AI Tooling</t>
        </is>
      </c>
      <c r="D6" s="15" t="inlineStr">
        <is>
          <t>AI coding developers setting up new machines/repos</t>
        </is>
      </c>
      <c r="E6" s="15" t="inlineStr">
        <is>
          <t>OSS free; CI cloud later</t>
        </is>
      </c>
      <c r="F6" s="15" t="inlineStr">
        <is>
          <t>Bundle mention in instruct-sync README; Twitter demos of red/green checks</t>
        </is>
      </c>
      <c r="G6" s="14" t="inlineStr">
        <is>
          <t>OSS + optional hosted CI</t>
        </is>
      </c>
      <c r="H6" s="28" t="inlineStr">
        <is>
          <t>$0–$20/mo CI tier</t>
        </is>
      </c>
      <c r="I6" s="12">
        <f>'01_Master_Portfolio'!L6</f>
        <v/>
      </c>
      <c r="J6" s="12">
        <f>'01_Master_Portfolio'!K6</f>
        <v/>
      </c>
    </row>
    <row r="7" ht="56" customHeight="1">
      <c r="A7" s="9" t="inlineStr">
        <is>
          <t>P03</t>
        </is>
      </c>
      <c r="B7" s="9" t="inlineStr">
        <is>
          <t>mcp-sync</t>
        </is>
      </c>
      <c r="C7" s="9" t="inlineStr">
        <is>
          <t>AI Tooling</t>
        </is>
      </c>
      <c r="D7" s="10" t="inlineStr">
        <is>
          <t>Power users of MCP across multiple IDEs</t>
        </is>
      </c>
      <c r="E7" s="10" t="inlineStr">
        <is>
          <t>OSS; Pro for org-wide MCP catalogs</t>
        </is>
      </c>
      <c r="F7" s="10" t="inlineStr">
        <is>
          <t>MCP community, Discord, HN, couple with instruct-sync</t>
        </is>
      </c>
      <c r="G7" s="9" t="inlineStr">
        <is>
          <t>Open core</t>
        </is>
      </c>
      <c r="H7" s="28" t="inlineStr">
        <is>
          <t>$12/seat org catalog</t>
        </is>
      </c>
      <c r="I7" s="12">
        <f>'01_Master_Portfolio'!L7</f>
        <v/>
      </c>
      <c r="J7" s="12">
        <f>'01_Master_Portfolio'!K7</f>
        <v/>
      </c>
    </row>
    <row r="8" ht="56" customHeight="1">
      <c r="A8" s="14" t="inlineStr">
        <is>
          <t>P04</t>
        </is>
      </c>
      <c r="B8" s="14" t="inlineStr">
        <is>
          <t>secret-guard</t>
        </is>
      </c>
      <c r="C8" s="14" t="inlineStr">
        <is>
          <t>AI Tooling / Security</t>
        </is>
      </c>
      <c r="D8" s="15" t="inlineStr">
        <is>
          <t>Security-conscious teams using AI coding tools</t>
        </is>
      </c>
      <c r="E8" s="15" t="inlineStr">
        <is>
          <t>OSS CLI; team dashboard $15–40/dev/mo</t>
        </is>
      </c>
      <c r="F8" s="15" t="inlineStr">
        <is>
          <t>Security Twitter, DevSecOps blogs, GitHub Action marketplace</t>
        </is>
      </c>
      <c r="G8" s="14" t="inlineStr">
        <is>
          <t>Open core SaaS</t>
        </is>
      </c>
      <c r="H8" s="28" t="inlineStr">
        <is>
          <t>$25/seat team</t>
        </is>
      </c>
      <c r="I8" s="12">
        <f>'01_Master_Portfolio'!L8</f>
        <v/>
      </c>
      <c r="J8" s="12">
        <f>'01_Master_Portfolio'!K8</f>
        <v/>
      </c>
    </row>
    <row r="9" ht="56" customHeight="1">
      <c r="A9" s="9" t="inlineStr">
        <is>
          <t>P05</t>
        </is>
      </c>
      <c r="B9" s="9" t="inlineStr">
        <is>
          <t>llm-spend</t>
        </is>
      </c>
      <c r="C9" s="9" t="inlineStr">
        <is>
          <t>AI Tooling / FinOps</t>
        </is>
      </c>
      <c r="D9" s="10" t="inlineStr">
        <is>
          <t>Startups with multi-LLM apps; AI platform teams</t>
        </is>
      </c>
      <c r="E9" s="10" t="inlineStr">
        <is>
          <t>Free tier; $49–299/mo by volume</t>
        </is>
      </c>
      <c r="F9" s="10" t="inlineStr">
        <is>
          <t>Product Hunt, AI eng communities, content on unit cost</t>
        </is>
      </c>
      <c r="G9" s="9" t="inlineStr">
        <is>
          <t>SaaS usage tiers</t>
        </is>
      </c>
      <c r="H9" s="28" t="inlineStr">
        <is>
          <t>$99/mo mid</t>
        </is>
      </c>
      <c r="I9" s="12">
        <f>'01_Master_Portfolio'!L9</f>
        <v/>
      </c>
      <c r="J9" s="12">
        <f>'01_Master_Portfolio'!K9</f>
        <v/>
      </c>
    </row>
    <row r="10" ht="56" customHeight="1">
      <c r="A10" s="14" t="inlineStr">
        <is>
          <t>P06</t>
        </is>
      </c>
      <c r="B10" s="14" t="inlineStr">
        <is>
          <t>skill-sync</t>
        </is>
      </c>
      <c r="C10" s="14" t="inlineStr">
        <is>
          <t>AI Tooling</t>
        </is>
      </c>
      <c r="D10" s="15" t="inlineStr">
        <is>
          <t>Platform teams standardizing agent capabilities</t>
        </is>
      </c>
      <c r="E10" s="15" t="inlineStr">
        <is>
          <t>Free public; private registry $99+/mo</t>
        </is>
      </c>
      <c r="F10" s="15" t="inlineStr">
        <is>
          <t>DevRel, skill examples, partner agents</t>
        </is>
      </c>
      <c r="G10" s="14" t="inlineStr">
        <is>
          <t>Registry SaaS</t>
        </is>
      </c>
      <c r="H10" s="28" t="inlineStr">
        <is>
          <t>$150/mo org</t>
        </is>
      </c>
      <c r="I10" s="12">
        <f>'01_Master_Portfolio'!L10</f>
        <v/>
      </c>
      <c r="J10" s="12">
        <f>'01_Master_Portfolio'!K10</f>
        <v/>
      </c>
    </row>
    <row r="11" ht="56" customHeight="1">
      <c r="A11" s="9" t="inlineStr">
        <is>
          <t>P07</t>
        </is>
      </c>
      <c r="B11" s="9" t="inlineStr">
        <is>
          <t>shadow-AI</t>
        </is>
      </c>
      <c r="C11" s="9" t="inlineStr">
        <is>
          <t>AI Tooling / Security / GRC</t>
        </is>
      </c>
      <c r="D11" s="10" t="inlineStr">
        <is>
          <t>CISOs at mid-market / regulated industries</t>
        </is>
      </c>
      <c r="E11" s="10" t="inlineStr">
        <is>
          <t>Per seat $5–15/mo enterprise</t>
        </is>
      </c>
      <c r="F11" s="10" t="inlineStr">
        <is>
          <t>Security conferences, MSSP partners, content on data leakage</t>
        </is>
      </c>
      <c r="G11" s="9" t="inlineStr">
        <is>
          <t>Enterprise SaaS</t>
        </is>
      </c>
      <c r="H11" s="28" t="inlineStr">
        <is>
          <t>$8/seat</t>
        </is>
      </c>
      <c r="I11" s="12">
        <f>'01_Master_Portfolio'!L11</f>
        <v/>
      </c>
      <c r="J11" s="12">
        <f>'01_Master_Portfolio'!K11</f>
        <v/>
      </c>
    </row>
    <row r="12" ht="56" customHeight="1">
      <c r="A12" s="14" t="inlineStr">
        <is>
          <t>P08</t>
        </is>
      </c>
      <c r="B12" s="14" t="inlineStr">
        <is>
          <t>eval-harness</t>
        </is>
      </c>
      <c r="C12" s="14" t="inlineStr">
        <is>
          <t>AI Tooling</t>
        </is>
      </c>
      <c r="D12" s="15" t="inlineStr">
        <is>
          <t>Product engineers shipping LLM features</t>
        </is>
      </c>
      <c r="E12" s="15" t="inlineStr">
        <is>
          <t>OSS; cloud runs $29–199/mo</t>
        </is>
      </c>
      <c r="F12" s="15" t="inlineStr">
        <is>
          <t>GitHub Action + docs SEO + AI eng Discord</t>
        </is>
      </c>
      <c r="G12" s="14" t="inlineStr">
        <is>
          <t>Open core SaaS</t>
        </is>
      </c>
      <c r="H12" s="28" t="inlineStr">
        <is>
          <t>$79/mo</t>
        </is>
      </c>
      <c r="I12" s="12">
        <f>'01_Master_Portfolio'!L12</f>
        <v/>
      </c>
      <c r="J12" s="12">
        <f>'01_Master_Portfolio'!K12</f>
        <v/>
      </c>
    </row>
    <row r="13" ht="56" customHeight="1">
      <c r="A13" s="9" t="inlineStr">
        <is>
          <t>P09</t>
        </is>
      </c>
      <c r="B13" s="9" t="inlineStr">
        <is>
          <t>auth-anomaly-radar</t>
        </is>
      </c>
      <c r="C13" s="9" t="inlineStr">
        <is>
          <t>Security / Identity / Fraud</t>
        </is>
      </c>
      <c r="D13" s="10" t="inlineStr">
        <is>
          <t>SaaS companies 10–200 eng, India SaaS exporters</t>
        </is>
      </c>
      <c r="E13" s="10" t="inlineStr">
        <is>
          <t>MAU-based $99–999/mo</t>
        </is>
      </c>
      <c r="F13" s="10" t="inlineStr">
        <is>
          <t>Auth0/Clerk marketplaces, security newsletters</t>
        </is>
      </c>
      <c r="G13" s="9" t="inlineStr">
        <is>
          <t>SaaS</t>
        </is>
      </c>
      <c r="H13" s="28" t="inlineStr">
        <is>
          <t>$250/mo</t>
        </is>
      </c>
      <c r="I13" s="12">
        <f>'01_Master_Portfolio'!L13</f>
        <v/>
      </c>
      <c r="J13" s="12">
        <f>'01_Master_Portfolio'!K13</f>
        <v/>
      </c>
    </row>
    <row r="14" ht="56" customHeight="1">
      <c r="A14" s="14" t="inlineStr">
        <is>
          <t>P10</t>
        </is>
      </c>
      <c r="B14" s="14" t="inlineStr">
        <is>
          <t>fraud-signal-kit</t>
        </is>
      </c>
      <c r="C14" s="14" t="inlineStr">
        <is>
          <t>Security / Identity / Fraud</t>
        </is>
      </c>
      <c r="D14" s="15" t="inlineStr">
        <is>
          <t>India fintech / marketplace risk teams</t>
        </is>
      </c>
      <c r="E14" s="15" t="inlineStr">
        <is>
          <t>Per API call + MRR</t>
        </is>
      </c>
      <c r="F14" s="15" t="inlineStr">
        <is>
          <t>Fintech meetups, RBI ecosystem events, founders network</t>
        </is>
      </c>
      <c r="G14" s="14" t="inlineStr">
        <is>
          <t>Usage API</t>
        </is>
      </c>
      <c r="H14" s="28" t="inlineStr">
        <is>
          <t>Usage-variable</t>
        </is>
      </c>
      <c r="I14" s="12">
        <f>'01_Master_Portfolio'!L14</f>
        <v/>
      </c>
      <c r="J14" s="12">
        <f>'01_Master_Portfolio'!K14</f>
        <v/>
      </c>
    </row>
    <row r="15" ht="56" customHeight="1">
      <c r="A15" s="9" t="inlineStr">
        <is>
          <t>P11</t>
        </is>
      </c>
      <c r="B15" s="9" t="inlineStr">
        <is>
          <t>cloud-waste-radar</t>
        </is>
      </c>
      <c r="C15" s="9" t="inlineStr">
        <is>
          <t>Cloud FinOps</t>
        </is>
      </c>
      <c r="D15" s="10" t="inlineStr">
        <is>
          <t>Startups $5k–50k/mo cloud bill without FinOps hire</t>
        </is>
      </c>
      <c r="E15" s="10" t="inlineStr">
        <is>
          <t>% of savings or $99–499/mo</t>
        </is>
      </c>
      <c r="F15" s="10" t="inlineStr">
        <is>
          <t>Content on waste, Product Hunt, AWS Marketplace</t>
        </is>
      </c>
      <c r="G15" s="9" t="inlineStr">
        <is>
          <t>SaaS + savings share</t>
        </is>
      </c>
      <c r="H15" s="28" t="inlineStr">
        <is>
          <t>$199/mo</t>
        </is>
      </c>
      <c r="I15" s="12">
        <f>'01_Master_Portfolio'!L15</f>
        <v/>
      </c>
      <c r="J15" s="12">
        <f>'01_Master_Portfolio'!K15</f>
        <v/>
      </c>
    </row>
    <row r="16" ht="56" customHeight="1">
      <c r="A16" s="14" t="inlineStr">
        <is>
          <t>P12</t>
        </is>
      </c>
      <c r="B16" s="14" t="inlineStr">
        <is>
          <t>dev-onboard-os</t>
        </is>
      </c>
      <c r="C16" s="14" t="inlineStr">
        <is>
          <t>Dev Productivity</t>
        </is>
      </c>
      <c r="D16" s="15" t="inlineStr">
        <is>
          <t>Eng managers at 20–200 person product orgs</t>
        </is>
      </c>
      <c r="E16" s="15" t="inlineStr">
        <is>
          <t>$8–15/seat/mo</t>
        </is>
      </c>
      <c r="F16" s="15" t="inlineStr">
        <is>
          <t>Eng manager content, GitHub App</t>
        </is>
      </c>
      <c r="G16" s="14" t="inlineStr">
        <is>
          <t>SaaS seats</t>
        </is>
      </c>
      <c r="H16" s="28" t="inlineStr">
        <is>
          <t>$12/seat</t>
        </is>
      </c>
      <c r="I16" s="12">
        <f>'01_Master_Portfolio'!L16</f>
        <v/>
      </c>
      <c r="J16" s="12">
        <f>'01_Master_Portfolio'!K16</f>
        <v/>
      </c>
    </row>
    <row r="17" ht="56" customHeight="1">
      <c r="A17" s="9" t="inlineStr">
        <is>
          <t>P13</t>
        </is>
      </c>
      <c r="B17" s="9" t="inlineStr">
        <is>
          <t>sbom-lite</t>
        </is>
      </c>
      <c r="C17" s="9" t="inlineStr">
        <is>
          <t>Security / Supply Chain</t>
        </is>
      </c>
      <c r="D17" s="10" t="inlineStr">
        <is>
          <t>Security engineers at product companies selling B2B</t>
        </is>
      </c>
      <c r="E17" s="10" t="inlineStr">
        <is>
          <t>OSS; SaaS policy hub $99+/mo</t>
        </is>
      </c>
      <c r="F17" s="10" t="inlineStr">
        <is>
          <t>GitHub Action marketplace, compliance content</t>
        </is>
      </c>
      <c r="G17" s="9" t="inlineStr">
        <is>
          <t>Open core</t>
        </is>
      </c>
      <c r="H17" s="28" t="inlineStr">
        <is>
          <t>$99/mo</t>
        </is>
      </c>
      <c r="I17" s="12">
        <f>'01_Master_Portfolio'!L17</f>
        <v/>
      </c>
      <c r="J17" s="12">
        <f>'01_Master_Portfolio'!K17</f>
        <v/>
      </c>
    </row>
    <row r="18" ht="56" customHeight="1">
      <c r="A18" s="14" t="inlineStr">
        <is>
          <t>P14</t>
        </is>
      </c>
      <c r="B18" s="14" t="inlineStr">
        <is>
          <t>grc-evidence-autopilot</t>
        </is>
      </c>
      <c r="C18" s="14" t="inlineStr">
        <is>
          <t>Compliance / GRC</t>
        </is>
      </c>
      <c r="D18" s="15" t="inlineStr">
        <is>
          <t>Series A SaaS needing SOC2 fast; India SaaS exporters</t>
        </is>
      </c>
      <c r="E18" s="15" t="inlineStr">
        <is>
          <t>$200–1000/mo</t>
        </is>
      </c>
      <c r="F18" s="15" t="inlineStr">
        <is>
          <t>Auditor partnerships, YC-style communities</t>
        </is>
      </c>
      <c r="G18" s="14" t="inlineStr">
        <is>
          <t>SaaS</t>
        </is>
      </c>
      <c r="H18" s="28" t="inlineStr">
        <is>
          <t>$400/mo</t>
        </is>
      </c>
      <c r="I18" s="12">
        <f>'01_Master_Portfolio'!L18</f>
        <v/>
      </c>
      <c r="J18" s="12">
        <f>'01_Master_Portfolio'!K18</f>
        <v/>
      </c>
    </row>
    <row r="19" ht="56" customHeight="1">
      <c r="A19" s="9" t="inlineStr">
        <is>
          <t>P15</t>
        </is>
      </c>
      <c r="B19" s="9" t="inlineStr">
        <is>
          <t>wa-ops-desk</t>
        </is>
      </c>
      <c r="C19" s="9" t="inlineStr">
        <is>
          <t>India SMB / WhatsApp Ops</t>
        </is>
      </c>
      <c r="D19" s="10" t="inlineStr">
        <is>
          <t>India SMB 2–20 staff using WhatsApp Business</t>
        </is>
      </c>
      <c r="E19" s="10" t="inlineStr">
        <is>
          <t>₹999–4999/mo tiers</t>
        </is>
      </c>
      <c r="F19" s="10" t="inlineStr">
        <is>
          <t>WhatsApp communities, CA/partners, local SEO, YouTube Hindi</t>
        </is>
      </c>
      <c r="G19" s="9" t="inlineStr">
        <is>
          <t>SaaS INR</t>
        </is>
      </c>
      <c r="H19" s="28" t="inlineStr">
        <is>
          <t>₹2,000/mo</t>
        </is>
      </c>
      <c r="I19" s="12">
        <f>'01_Master_Portfolio'!L19</f>
        <v/>
      </c>
      <c r="J19" s="12">
        <f>'01_Master_Portfolio'!K19</f>
        <v/>
      </c>
    </row>
    <row r="20" ht="56" customHeight="1">
      <c r="A20" s="14" t="inlineStr">
        <is>
          <t>P16</t>
        </is>
      </c>
      <c r="B20" s="14" t="inlineStr">
        <is>
          <t>gst-ops-copilot</t>
        </is>
      </c>
      <c r="C20" s="14" t="inlineStr">
        <is>
          <t>India SMB / Fintech</t>
        </is>
      </c>
      <c r="D20" s="15" t="inlineStr">
        <is>
          <t>India SMEs + small CA firms</t>
        </is>
      </c>
      <c r="E20" s="15" t="inlineStr">
        <is>
          <t>₹499–2999/mo</t>
        </is>
      </c>
      <c r="F20" s="15" t="inlineStr">
        <is>
          <t>CA channel, YouTube GST explainers</t>
        </is>
      </c>
      <c r="G20" s="14" t="inlineStr">
        <is>
          <t>SaaS + CA white-label</t>
        </is>
      </c>
      <c r="H20" s="28" t="inlineStr">
        <is>
          <t>₹1,000/mo</t>
        </is>
      </c>
      <c r="I20" s="12">
        <f>'01_Master_Portfolio'!L20</f>
        <v/>
      </c>
      <c r="J20" s="12">
        <f>'01_Master_Portfolio'!K20</f>
        <v/>
      </c>
    </row>
    <row r="21" ht="56" customHeight="1">
      <c r="A21" s="9" t="inlineStr">
        <is>
          <t>P17</t>
        </is>
      </c>
      <c r="B21" s="9" t="inlineStr">
        <is>
          <t>appt-book-india</t>
        </is>
      </c>
      <c r="C21" s="9" t="inlineStr">
        <is>
          <t>India SMB / Appointments</t>
        </is>
      </c>
      <c r="D21" s="10" t="inlineStr">
        <is>
          <t>Salons, tutors, small clinics India tier-1/2</t>
        </is>
      </c>
      <c r="E21" s="10" t="inlineStr">
        <is>
          <t>₹499–1499/mo</t>
        </is>
      </c>
      <c r="F21" s="10" t="inlineStr">
        <is>
          <t>Local Facebook groups, partners, Instagram ads</t>
        </is>
      </c>
      <c r="G21" s="9" t="inlineStr">
        <is>
          <t>SaaS INR</t>
        </is>
      </c>
      <c r="H21" s="28" t="inlineStr">
        <is>
          <t>₹799/mo</t>
        </is>
      </c>
      <c r="I21" s="12">
        <f>'01_Master_Portfolio'!L21</f>
        <v/>
      </c>
      <c r="J21" s="12">
        <f>'01_Master_Portfolio'!K21</f>
        <v/>
      </c>
    </row>
    <row r="22" ht="56" customHeight="1">
      <c r="A22" s="14" t="inlineStr">
        <is>
          <t>P18</t>
        </is>
      </c>
      <c r="B22" s="14" t="inlineStr">
        <is>
          <t>clinic-admin-lite</t>
        </is>
      </c>
      <c r="C22" s="14" t="inlineStr">
        <is>
          <t>India SMB / Health Ops</t>
        </is>
      </c>
      <c r="D22" s="15" t="inlineStr">
        <is>
          <t>1–5 doctor clinics India</t>
        </is>
      </c>
      <c r="E22" s="15" t="inlineStr">
        <is>
          <t>₹999–3999/mo</t>
        </is>
      </c>
      <c r="F22" s="15" t="inlineStr">
        <is>
          <t>Medical associations, CA/IT partners, referrals</t>
        </is>
      </c>
      <c r="G22" s="14" t="inlineStr">
        <is>
          <t>SaaS</t>
        </is>
      </c>
      <c r="H22" s="28" t="inlineStr">
        <is>
          <t>₹1,500/mo</t>
        </is>
      </c>
      <c r="I22" s="12">
        <f>'01_Master_Portfolio'!L22</f>
        <v/>
      </c>
      <c r="J22" s="12">
        <f>'01_Master_Portfolio'!K22</f>
        <v/>
      </c>
    </row>
    <row r="23" ht="56" customHeight="1">
      <c r="A23" s="9" t="inlineStr">
        <is>
          <t>P19</t>
        </is>
      </c>
      <c r="B23" s="9" t="inlineStr">
        <is>
          <t>learn-loop</t>
        </is>
      </c>
      <c r="C23" s="9" t="inlineStr">
        <is>
          <t>Education</t>
        </is>
      </c>
      <c r="D23" s="10" t="inlineStr">
        <is>
          <t>Independent tutors &amp; small coaching centers</t>
        </is>
      </c>
      <c r="E23" s="10" t="inlineStr">
        <is>
          <t>₹299–999/mo</t>
        </is>
      </c>
      <c r="F23" s="10" t="inlineStr">
        <is>
          <t>Tutor communities, YouTube</t>
        </is>
      </c>
      <c r="G23" s="9" t="inlineStr">
        <is>
          <t>SaaS</t>
        </is>
      </c>
      <c r="H23" s="28" t="inlineStr">
        <is>
          <t>₹499/mo</t>
        </is>
      </c>
      <c r="I23" s="12">
        <f>'01_Master_Portfolio'!L23</f>
        <v/>
      </c>
      <c r="J23" s="12">
        <f>'01_Master_Portfolio'!K23</f>
        <v/>
      </c>
    </row>
    <row r="24" ht="56" customHeight="1">
      <c r="A24" s="14" t="inlineStr">
        <is>
          <t>P20</t>
        </is>
      </c>
      <c r="B24" s="14" t="inlineStr">
        <is>
          <t>cyber-smb-shield</t>
        </is>
      </c>
      <c r="C24" s="14" t="inlineStr">
        <is>
          <t>Cyber / SMB</t>
        </is>
      </c>
      <c r="D24" s="15" t="inlineStr">
        <is>
          <t>SMB 10–100 employees, India &amp; global</t>
        </is>
      </c>
      <c r="E24" s="15" t="inlineStr">
        <is>
          <t>$5–15/seat/mo</t>
        </is>
      </c>
      <c r="F24" s="15" t="inlineStr">
        <is>
          <t>MSP channel, insurance brokers</t>
        </is>
      </c>
      <c r="G24" s="14" t="inlineStr">
        <is>
          <t>SaaS + channel</t>
        </is>
      </c>
      <c r="H24" s="28" t="inlineStr">
        <is>
          <t>$8/seat</t>
        </is>
      </c>
      <c r="I24" s="12">
        <f>'01_Master_Portfolio'!L24</f>
        <v/>
      </c>
      <c r="J24" s="12">
        <f>'01_Master_Portfolio'!K24</f>
        <v/>
      </c>
    </row>
    <row r="25" ht="56" customHeight="1">
      <c r="A25" s="9" t="inlineStr">
        <is>
          <t>P21</t>
        </is>
      </c>
      <c r="B25" s="9" t="inlineStr">
        <is>
          <t>data-quality-guard</t>
        </is>
      </c>
      <c r="C25" s="9" t="inlineStr">
        <is>
          <t>Data Quality</t>
        </is>
      </c>
      <c r="D25" s="10" t="inlineStr">
        <is>
          <t>Analytics eng at Series A–C</t>
        </is>
      </c>
      <c r="E25" s="10" t="inlineStr">
        <is>
          <t>$99–499/mo</t>
        </is>
      </c>
      <c r="F25" s="10" t="inlineStr">
        <is>
          <t>dbt community, data Twitter</t>
        </is>
      </c>
      <c r="G25" s="9" t="inlineStr">
        <is>
          <t>SaaS</t>
        </is>
      </c>
      <c r="H25" s="28" t="inlineStr">
        <is>
          <t>$199/mo</t>
        </is>
      </c>
      <c r="I25" s="12">
        <f>'01_Master_Portfolio'!L25</f>
        <v/>
      </c>
      <c r="J25" s="12">
        <f>'01_Master_Portfolio'!K25</f>
        <v/>
      </c>
    </row>
    <row r="26" ht="56" customHeight="1">
      <c r="A26" s="14" t="inlineStr">
        <is>
          <t>P22</t>
        </is>
      </c>
      <c r="B26" s="14" t="inlineStr">
        <is>
          <t>care-companion</t>
        </is>
      </c>
      <c r="C26" s="14" t="inlineStr">
        <is>
          <t>Consumer Care</t>
        </is>
      </c>
      <c r="D26" s="15" t="inlineStr">
        <is>
          <t>Multi-city families caring for parents</t>
        </is>
      </c>
      <c r="E26" s="15" t="inlineStr">
        <is>
          <t>Freemium; ₹99–299/mo family</t>
        </is>
      </c>
      <c r="F26" s="15" t="inlineStr">
        <is>
          <t>Content, hospitals partners, ASO</t>
        </is>
      </c>
      <c r="G26" s="14" t="inlineStr">
        <is>
          <t>Consumer sub</t>
        </is>
      </c>
      <c r="H26" s="28" t="inlineStr">
        <is>
          <t>₹149/mo</t>
        </is>
      </c>
      <c r="I26" s="12">
        <f>'01_Master_Portfolio'!L26</f>
        <v/>
      </c>
      <c r="J26" s="12">
        <f>'01_Master_Portfolio'!K26</f>
        <v/>
      </c>
    </row>
    <row r="27" ht="56" customHeight="1">
      <c r="A27" s="9" t="inlineStr">
        <is>
          <t>P23</t>
        </is>
      </c>
      <c r="B27" s="9" t="inlineStr">
        <is>
          <t>personal-crm</t>
        </is>
      </c>
      <c r="C27" s="9" t="inlineStr">
        <is>
          <t>Personal CRM</t>
        </is>
      </c>
      <c r="D27" s="10" t="inlineStr">
        <is>
          <t>Founders, consultants, community builders</t>
        </is>
      </c>
      <c r="E27" s="10" t="inlineStr">
        <is>
          <t>$8–12/mo</t>
        </is>
      </c>
      <c r="F27" s="10" t="inlineStr">
        <is>
          <t>Indie Hackers, Product Hunt, Twitter</t>
        </is>
      </c>
      <c r="G27" s="9" t="inlineStr">
        <is>
          <t>Consumer SaaS</t>
        </is>
      </c>
      <c r="H27" s="28" t="inlineStr">
        <is>
          <t>$10/mo</t>
        </is>
      </c>
      <c r="I27" s="12">
        <f>'01_Master_Portfolio'!L27</f>
        <v/>
      </c>
      <c r="J27" s="12">
        <f>'01_Master_Portfolio'!K27</f>
        <v/>
      </c>
    </row>
    <row r="28" ht="56" customHeight="1">
      <c r="A28" s="14" t="inlineStr">
        <is>
          <t>P24</t>
        </is>
      </c>
      <c r="B28" s="14" t="inlineStr">
        <is>
          <t>creator-ops</t>
        </is>
      </c>
      <c r="C28" s="14" t="inlineStr">
        <is>
          <t>Creator Ops</t>
        </is>
      </c>
      <c r="D28" s="15" t="inlineStr">
        <is>
          <t>Creators 50k–500k followers or small agencies</t>
        </is>
      </c>
      <c r="E28" s="15" t="inlineStr">
        <is>
          <t>$19–79/mo</t>
        </is>
      </c>
      <c r="F28" s="15" t="inlineStr">
        <is>
          <t>YouTube/Twitter creators, affiliate</t>
        </is>
      </c>
      <c r="G28" s="14" t="inlineStr">
        <is>
          <t>SaaS</t>
        </is>
      </c>
      <c r="H28" s="28" t="inlineStr">
        <is>
          <t>$29/mo</t>
        </is>
      </c>
      <c r="I28" s="12">
        <f>'01_Master_Portfolio'!L28</f>
        <v/>
      </c>
      <c r="J28" s="12">
        <f>'01_Master_Portfolio'!K28</f>
        <v/>
      </c>
    </row>
    <row r="29" ht="56" customHeight="1">
      <c r="A29" s="9" t="inlineStr">
        <is>
          <t>P25</t>
        </is>
      </c>
      <c r="B29" s="9" t="inlineStr">
        <is>
          <t>climate-ops-meter</t>
        </is>
      </c>
      <c r="C29" s="9" t="inlineStr">
        <is>
          <t>Climate / ESG</t>
        </is>
      </c>
      <c r="D29" s="10" t="inlineStr">
        <is>
          <t>India mid-market exporters selling to EU/US</t>
        </is>
      </c>
      <c r="E29" s="10" t="inlineStr">
        <is>
          <t>$199–999/mo</t>
        </is>
      </c>
      <c r="F29" s="10" t="inlineStr">
        <is>
          <t>Trade associations, consultants</t>
        </is>
      </c>
      <c r="G29" s="9" t="inlineStr">
        <is>
          <t>SaaS + services</t>
        </is>
      </c>
      <c r="H29" s="28" t="inlineStr">
        <is>
          <t>$400/mo</t>
        </is>
      </c>
      <c r="I29" s="12">
        <f>'01_Master_Portfolio'!L29</f>
        <v/>
      </c>
      <c r="J29" s="12">
        <f>'01_Master_Portfolio'!K29</f>
        <v/>
      </c>
    </row>
    <row r="30" ht="56" customHeight="1">
      <c r="A30" s="14" t="inlineStr">
        <is>
          <t>P26</t>
        </is>
      </c>
      <c r="B30" s="14" t="inlineStr">
        <is>
          <t>supply-chain-visibility-lite</t>
        </is>
      </c>
      <c r="C30" s="14" t="inlineStr">
        <is>
          <t>Supply Chain</t>
        </is>
      </c>
      <c r="D30" s="15" t="inlineStr">
        <is>
          <t>India manufacturing SMEs in export chains</t>
        </is>
      </c>
      <c r="E30" s="15" t="inlineStr">
        <is>
          <t>₹5,000–25,000/mo</t>
        </is>
      </c>
      <c r="F30" s="15" t="inlineStr">
        <is>
          <t>Industry associations</t>
        </is>
      </c>
      <c r="G30" s="14" t="inlineStr">
        <is>
          <t>SaaS</t>
        </is>
      </c>
      <c r="H30" s="28" t="inlineStr">
        <is>
          <t>₹10,000/mo</t>
        </is>
      </c>
      <c r="I30" s="12">
        <f>'01_Master_Portfolio'!L30</f>
        <v/>
      </c>
      <c r="J30" s="12">
        <f>'01_Master_Portfolio'!K30</f>
        <v/>
      </c>
    </row>
    <row r="31" ht="56" customHeight="1">
      <c r="A31" s="9" t="inlineStr">
        <is>
          <t>P27</t>
        </is>
      </c>
      <c r="B31" s="9" t="inlineStr">
        <is>
          <t>focus-forge</t>
        </is>
      </c>
      <c r="C31" s="9" t="inlineStr">
        <is>
          <t>Focus / Productivity Apps</t>
        </is>
      </c>
      <c r="D31" s="10" t="inlineStr">
        <is>
          <t>Knowledge workers, students</t>
        </is>
      </c>
      <c r="E31" s="10" t="inlineStr">
        <is>
          <t>$4–8/mo</t>
        </is>
      </c>
      <c r="F31" s="10" t="inlineStr">
        <is>
          <t>Product Hunt, TikTok productivity niche</t>
        </is>
      </c>
      <c r="G31" s="9" t="inlineStr">
        <is>
          <t>Consumer sub</t>
        </is>
      </c>
      <c r="H31" s="28" t="inlineStr">
        <is>
          <t>$6/mo</t>
        </is>
      </c>
      <c r="I31" s="12">
        <f>'01_Master_Portfolio'!L31</f>
        <v/>
      </c>
      <c r="J31" s="12">
        <f>'01_Master_Portfolio'!K31</f>
        <v/>
      </c>
    </row>
    <row r="32" ht="56" customHeight="1">
      <c r="A32" s="14" t="inlineStr">
        <is>
          <t>P28</t>
        </is>
      </c>
      <c r="B32" s="14" t="inlineStr">
        <is>
          <t>api-contract-sentinel</t>
        </is>
      </c>
      <c r="C32" s="14" t="inlineStr">
        <is>
          <t>Dev Productivity / Quality</t>
        </is>
      </c>
      <c r="D32" s="15" t="inlineStr">
        <is>
          <t>Platform engineering teams</t>
        </is>
      </c>
      <c r="E32" s="15" t="inlineStr">
        <is>
          <t>OSS; org $99+/mo</t>
        </is>
      </c>
      <c r="F32" s="15" t="inlineStr">
        <is>
          <t>GitHub marketplace, platform eng blogs</t>
        </is>
      </c>
      <c r="G32" s="14" t="inlineStr">
        <is>
          <t>Open core</t>
        </is>
      </c>
      <c r="H32" s="28" t="inlineStr">
        <is>
          <t>$99/mo</t>
        </is>
      </c>
      <c r="I32" s="12">
        <f>'01_Master_Portfolio'!L32</f>
        <v/>
      </c>
      <c r="J32" s="12">
        <f>'01_Master_Portfolio'!K32</f>
        <v/>
      </c>
    </row>
    <row r="33" ht="56" customHeight="1">
      <c r="A33" s="9" t="inlineStr">
        <is>
          <t>P29</t>
        </is>
      </c>
      <c r="B33" s="9" t="inlineStr">
        <is>
          <t>agent-skill-scan</t>
        </is>
      </c>
      <c r="C33" s="9" t="inlineStr">
        <is>
          <t>AI Tooling / Security</t>
        </is>
      </c>
      <c r="D33" s="10" t="inlineStr">
        <is>
          <t>AI-assisted developers; security-conscious teams adopting agents</t>
        </is>
      </c>
      <c r="E33" s="10" t="inlineStr">
        <is>
          <t>OSS CLI free; paid GitHub Action / org policy $15–40/dev/mo</t>
        </is>
      </c>
      <c r="F33" s="10" t="inlineStr">
        <is>
          <t>Show HN with ToxicSkills hook, security Twitter, GitHub Action marketplace, cross-link suite READMEs</t>
        </is>
      </c>
      <c r="G33" s="9" t="inlineStr">
        <is>
          <t>Open core SaaS</t>
        </is>
      </c>
      <c r="H33" s="28" t="inlineStr">
        <is>
          <t>$25/seat</t>
        </is>
      </c>
      <c r="I33" s="12">
        <f>'01_Master_Portfolio'!L33</f>
        <v/>
      </c>
      <c r="J33" s="12">
        <f>'01_Master_Portfolio'!K33</f>
        <v/>
      </c>
    </row>
    <row r="34" ht="56" customHeight="1">
      <c r="A34" s="14" t="inlineStr">
        <is>
          <t>P30</t>
        </is>
      </c>
      <c r="B34" s="14" t="inlineStr">
        <is>
          <t>agent-spend-guard</t>
        </is>
      </c>
      <c r="C34" s="14" t="inlineStr">
        <is>
          <t>AI Tooling / FinOps</t>
        </is>
      </c>
      <c r="D34" s="15" t="inlineStr">
        <is>
          <t>Eng managers with runaway agent bills; indie devs on usage pricing</t>
        </is>
      </c>
      <c r="E34" s="15" t="inlineStr">
        <is>
          <t>Free solo meter; $10–15/dev/mo team budgets + policy</t>
        </is>
      </c>
      <c r="F34" s="15" t="inlineStr">
        <is>
          <t>Show HN, FinOps community, 'my token bill' content wave, suite cross-links</t>
        </is>
      </c>
      <c r="G34" s="14" t="inlineStr">
        <is>
          <t>Open core → seat SaaS</t>
        </is>
      </c>
      <c r="H34" s="28" t="inlineStr">
        <is>
          <t>$12/seat</t>
        </is>
      </c>
      <c r="I34" s="12">
        <f>'01_Master_Portfolio'!L34</f>
        <v/>
      </c>
      <c r="J34" s="12">
        <f>'01_Master_Portfolio'!K34</f>
        <v/>
      </c>
    </row>
    <row r="35" ht="56" customHeight="1">
      <c r="A35" s="9" t="inlineStr">
        <is>
          <t>P31</t>
        </is>
      </c>
      <c r="B35" s="9" t="inlineStr">
        <is>
          <t>indic-voice-flow</t>
        </is>
      </c>
      <c r="C35" s="9" t="inlineStr">
        <is>
          <t>Consumer AI / Voice</t>
        </is>
      </c>
      <c r="D35" s="10" t="inlineStr">
        <is>
          <t>Indian professionals (legal, medical, CA, sales) typing 2+ hrs/day</t>
        </is>
      </c>
      <c r="E35" s="10" t="inlineStr">
        <is>
          <t>₹299–499/mo</t>
        </is>
      </c>
      <c r="F35" s="10" t="inlineStr">
        <is>
          <t>Hindi YouTube/Instagram demos, professional associations, WhatsApp forwards</t>
        </is>
      </c>
      <c r="G35" s="9" t="inlineStr">
        <is>
          <t>Consumer subscription</t>
        </is>
      </c>
      <c r="H35" s="28" t="inlineStr">
        <is>
          <t>₹399/mo</t>
        </is>
      </c>
      <c r="I35" s="12">
        <f>'01_Master_Portfolio'!L35</f>
        <v/>
      </c>
      <c r="J35" s="12">
        <f>'01_Master_Portfolio'!K35</f>
        <v/>
      </c>
    </row>
    <row r="36" ht="56" customHeight="1">
      <c r="A36" s="14" t="inlineStr">
        <is>
          <t>P32</t>
        </is>
      </c>
      <c r="B36" s="14" t="inlineStr">
        <is>
          <t>pr-triage</t>
        </is>
      </c>
      <c r="C36" s="14" t="inlineStr">
        <is>
          <t>Dev Productivity / Quality</t>
        </is>
      </c>
      <c r="D36" s="15" t="inlineStr">
        <is>
          <t>Teams merging heavy AI-generated code</t>
        </is>
      </c>
      <c r="E36" s="15" t="inlineStr">
        <is>
          <t>OSS; org tier $99+/mo</t>
        </is>
      </c>
      <c r="F36" s="15" t="inlineStr">
        <is>
          <t>GitHub marketplace, review-fatigue content</t>
        </is>
      </c>
      <c r="G36" s="14" t="inlineStr">
        <is>
          <t>Open core</t>
        </is>
      </c>
      <c r="H36" s="28" t="inlineStr">
        <is>
          <t>$99/mo</t>
        </is>
      </c>
      <c r="I36" s="12">
        <f>'01_Master_Portfolio'!L36</f>
        <v/>
      </c>
      <c r="J36" s="12">
        <f>'01_Master_Portfolio'!K36</f>
        <v/>
      </c>
    </row>
  </sheetData>
  <autoFilter ref="A4:J36"/>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10" customWidth="1" min="3" max="3"/>
    <col width="14" customWidth="1" min="4" max="4"/>
    <col width="12" customWidth="1" min="5" max="5"/>
    <col width="12" customWidth="1" min="6" max="6"/>
    <col width="8" customWidth="1" min="7" max="7"/>
    <col width="10" customWidth="1" min="8" max="8"/>
    <col width="10" customWidth="1" min="9" max="9"/>
    <col width="3" customWidth="1" min="11" max="11"/>
  </cols>
  <sheetData>
    <row r="1">
      <c r="A1" s="1" t="inlineStr">
        <is>
          <t>Scoring Matrix (linked to Master)</t>
        </is>
      </c>
    </row>
    <row r="2">
      <c r="A2" s="7" t="inlineStr">
        <is>
          <t>All score and TOTAL cells are formulas → 01_Master_Portfolio. Change scores only on Master (or edit Master F–J).</t>
        </is>
      </c>
    </row>
    <row r="4">
      <c r="A4" s="8" t="inlineStr">
        <is>
          <t>ID</t>
        </is>
      </c>
      <c r="B4" s="8" t="inlineStr">
        <is>
          <t>Name</t>
        </is>
      </c>
      <c r="C4" s="8" t="inlineStr">
        <is>
          <t>Burn</t>
        </is>
      </c>
      <c r="D4" s="8" t="inlineStr">
        <is>
          <t>Software-native</t>
        </is>
      </c>
      <c r="E4" s="8" t="inlineStr">
        <is>
          <t>Ship speed</t>
        </is>
      </c>
      <c r="F4" s="8" t="inlineStr">
        <is>
          <t>Distribution</t>
        </is>
      </c>
      <c r="G4" s="8" t="inlineStr">
        <is>
          <t>Moat</t>
        </is>
      </c>
      <c r="H4" s="8" t="inlineStr">
        <is>
          <t>TOTAL</t>
        </is>
      </c>
      <c r="I4" s="8" t="inlineStr">
        <is>
          <t>Priority</t>
        </is>
      </c>
    </row>
    <row r="5">
      <c r="A5" s="9" t="inlineStr">
        <is>
          <t>P01</t>
        </is>
      </c>
      <c r="B5" s="9" t="inlineStr">
        <is>
          <t>instruct-sync</t>
        </is>
      </c>
      <c r="C5" s="29">
        <f>'01_Master_Portfolio'!F5</f>
        <v/>
      </c>
      <c r="D5" s="29">
        <f>'01_Master_Portfolio'!G5</f>
        <v/>
      </c>
      <c r="E5" s="29">
        <f>'01_Master_Portfolio'!H5</f>
        <v/>
      </c>
      <c r="F5" s="29">
        <f>'01_Master_Portfolio'!I5</f>
        <v/>
      </c>
      <c r="G5" s="29">
        <f>'01_Master_Portfolio'!J5</f>
        <v/>
      </c>
      <c r="H5" s="29">
        <f>'01_Master_Portfolio'!K5</f>
        <v/>
      </c>
      <c r="I5" s="29">
        <f>'01_Master_Portfolio'!L5</f>
        <v/>
      </c>
    </row>
    <row r="6">
      <c r="A6" s="9" t="inlineStr">
        <is>
          <t>P02</t>
        </is>
      </c>
      <c r="B6" s="9" t="inlineStr">
        <is>
          <t>ai-setup-doctor</t>
        </is>
      </c>
      <c r="C6" s="29">
        <f>'01_Master_Portfolio'!F6</f>
        <v/>
      </c>
      <c r="D6" s="29">
        <f>'01_Master_Portfolio'!G6</f>
        <v/>
      </c>
      <c r="E6" s="29">
        <f>'01_Master_Portfolio'!H6</f>
        <v/>
      </c>
      <c r="F6" s="29">
        <f>'01_Master_Portfolio'!I6</f>
        <v/>
      </c>
      <c r="G6" s="29">
        <f>'01_Master_Portfolio'!J6</f>
        <v/>
      </c>
      <c r="H6" s="29">
        <f>'01_Master_Portfolio'!K6</f>
        <v/>
      </c>
      <c r="I6" s="29">
        <f>'01_Master_Portfolio'!L6</f>
        <v/>
      </c>
    </row>
    <row r="7">
      <c r="A7" s="9" t="inlineStr">
        <is>
          <t>P03</t>
        </is>
      </c>
      <c r="B7" s="9" t="inlineStr">
        <is>
          <t>mcp-sync</t>
        </is>
      </c>
      <c r="C7" s="29">
        <f>'01_Master_Portfolio'!F7</f>
        <v/>
      </c>
      <c r="D7" s="29">
        <f>'01_Master_Portfolio'!G7</f>
        <v/>
      </c>
      <c r="E7" s="29">
        <f>'01_Master_Portfolio'!H7</f>
        <v/>
      </c>
      <c r="F7" s="29">
        <f>'01_Master_Portfolio'!I7</f>
        <v/>
      </c>
      <c r="G7" s="29">
        <f>'01_Master_Portfolio'!J7</f>
        <v/>
      </c>
      <c r="H7" s="29">
        <f>'01_Master_Portfolio'!K7</f>
        <v/>
      </c>
      <c r="I7" s="29">
        <f>'01_Master_Portfolio'!L7</f>
        <v/>
      </c>
    </row>
    <row r="8">
      <c r="A8" s="9" t="inlineStr">
        <is>
          <t>P04</t>
        </is>
      </c>
      <c r="B8" s="9" t="inlineStr">
        <is>
          <t>secret-guard</t>
        </is>
      </c>
      <c r="C8" s="29">
        <f>'01_Master_Portfolio'!F8</f>
        <v/>
      </c>
      <c r="D8" s="29">
        <f>'01_Master_Portfolio'!G8</f>
        <v/>
      </c>
      <c r="E8" s="29">
        <f>'01_Master_Portfolio'!H8</f>
        <v/>
      </c>
      <c r="F8" s="29">
        <f>'01_Master_Portfolio'!I8</f>
        <v/>
      </c>
      <c r="G8" s="29">
        <f>'01_Master_Portfolio'!J8</f>
        <v/>
      </c>
      <c r="H8" s="29">
        <f>'01_Master_Portfolio'!K8</f>
        <v/>
      </c>
      <c r="I8" s="29">
        <f>'01_Master_Portfolio'!L8</f>
        <v/>
      </c>
    </row>
    <row r="9">
      <c r="A9" s="9" t="inlineStr">
        <is>
          <t>P05</t>
        </is>
      </c>
      <c r="B9" s="9" t="inlineStr">
        <is>
          <t>llm-spend</t>
        </is>
      </c>
      <c r="C9" s="29">
        <f>'01_Master_Portfolio'!F9</f>
        <v/>
      </c>
      <c r="D9" s="29">
        <f>'01_Master_Portfolio'!G9</f>
        <v/>
      </c>
      <c r="E9" s="29">
        <f>'01_Master_Portfolio'!H9</f>
        <v/>
      </c>
      <c r="F9" s="29">
        <f>'01_Master_Portfolio'!I9</f>
        <v/>
      </c>
      <c r="G9" s="29">
        <f>'01_Master_Portfolio'!J9</f>
        <v/>
      </c>
      <c r="H9" s="29">
        <f>'01_Master_Portfolio'!K9</f>
        <v/>
      </c>
      <c r="I9" s="29">
        <f>'01_Master_Portfolio'!L9</f>
        <v/>
      </c>
    </row>
    <row r="10">
      <c r="A10" s="9" t="inlineStr">
        <is>
          <t>P06</t>
        </is>
      </c>
      <c r="B10" s="9" t="inlineStr">
        <is>
          <t>skill-sync</t>
        </is>
      </c>
      <c r="C10" s="29">
        <f>'01_Master_Portfolio'!F10</f>
        <v/>
      </c>
      <c r="D10" s="29">
        <f>'01_Master_Portfolio'!G10</f>
        <v/>
      </c>
      <c r="E10" s="29">
        <f>'01_Master_Portfolio'!H10</f>
        <v/>
      </c>
      <c r="F10" s="29">
        <f>'01_Master_Portfolio'!I10</f>
        <v/>
      </c>
      <c r="G10" s="29">
        <f>'01_Master_Portfolio'!J10</f>
        <v/>
      </c>
      <c r="H10" s="29">
        <f>'01_Master_Portfolio'!K10</f>
        <v/>
      </c>
      <c r="I10" s="29">
        <f>'01_Master_Portfolio'!L10</f>
        <v/>
      </c>
    </row>
    <row r="11">
      <c r="A11" s="9" t="inlineStr">
        <is>
          <t>P07</t>
        </is>
      </c>
      <c r="B11" s="9" t="inlineStr">
        <is>
          <t>shadow-AI</t>
        </is>
      </c>
      <c r="C11" s="29">
        <f>'01_Master_Portfolio'!F11</f>
        <v/>
      </c>
      <c r="D11" s="29">
        <f>'01_Master_Portfolio'!G11</f>
        <v/>
      </c>
      <c r="E11" s="29">
        <f>'01_Master_Portfolio'!H11</f>
        <v/>
      </c>
      <c r="F11" s="29">
        <f>'01_Master_Portfolio'!I11</f>
        <v/>
      </c>
      <c r="G11" s="29">
        <f>'01_Master_Portfolio'!J11</f>
        <v/>
      </c>
      <c r="H11" s="29">
        <f>'01_Master_Portfolio'!K11</f>
        <v/>
      </c>
      <c r="I11" s="29">
        <f>'01_Master_Portfolio'!L11</f>
        <v/>
      </c>
    </row>
    <row r="12">
      <c r="A12" s="9" t="inlineStr">
        <is>
          <t>P08</t>
        </is>
      </c>
      <c r="B12" s="9" t="inlineStr">
        <is>
          <t>eval-harness</t>
        </is>
      </c>
      <c r="C12" s="29">
        <f>'01_Master_Portfolio'!F12</f>
        <v/>
      </c>
      <c r="D12" s="29">
        <f>'01_Master_Portfolio'!G12</f>
        <v/>
      </c>
      <c r="E12" s="29">
        <f>'01_Master_Portfolio'!H12</f>
        <v/>
      </c>
      <c r="F12" s="29">
        <f>'01_Master_Portfolio'!I12</f>
        <v/>
      </c>
      <c r="G12" s="29">
        <f>'01_Master_Portfolio'!J12</f>
        <v/>
      </c>
      <c r="H12" s="29">
        <f>'01_Master_Portfolio'!K12</f>
        <v/>
      </c>
      <c r="I12" s="29">
        <f>'01_Master_Portfolio'!L12</f>
        <v/>
      </c>
    </row>
    <row r="13">
      <c r="A13" s="9" t="inlineStr">
        <is>
          <t>P09</t>
        </is>
      </c>
      <c r="B13" s="9" t="inlineStr">
        <is>
          <t>auth-anomaly-radar</t>
        </is>
      </c>
      <c r="C13" s="29">
        <f>'01_Master_Portfolio'!F13</f>
        <v/>
      </c>
      <c r="D13" s="29">
        <f>'01_Master_Portfolio'!G13</f>
        <v/>
      </c>
      <c r="E13" s="29">
        <f>'01_Master_Portfolio'!H13</f>
        <v/>
      </c>
      <c r="F13" s="29">
        <f>'01_Master_Portfolio'!I13</f>
        <v/>
      </c>
      <c r="G13" s="29">
        <f>'01_Master_Portfolio'!J13</f>
        <v/>
      </c>
      <c r="H13" s="29">
        <f>'01_Master_Portfolio'!K13</f>
        <v/>
      </c>
      <c r="I13" s="29">
        <f>'01_Master_Portfolio'!L13</f>
        <v/>
      </c>
    </row>
    <row r="14">
      <c r="A14" s="9" t="inlineStr">
        <is>
          <t>P10</t>
        </is>
      </c>
      <c r="B14" s="9" t="inlineStr">
        <is>
          <t>fraud-signal-kit</t>
        </is>
      </c>
      <c r="C14" s="29">
        <f>'01_Master_Portfolio'!F14</f>
        <v/>
      </c>
      <c r="D14" s="29">
        <f>'01_Master_Portfolio'!G14</f>
        <v/>
      </c>
      <c r="E14" s="29">
        <f>'01_Master_Portfolio'!H14</f>
        <v/>
      </c>
      <c r="F14" s="29">
        <f>'01_Master_Portfolio'!I14</f>
        <v/>
      </c>
      <c r="G14" s="29">
        <f>'01_Master_Portfolio'!J14</f>
        <v/>
      </c>
      <c r="H14" s="29">
        <f>'01_Master_Portfolio'!K14</f>
        <v/>
      </c>
      <c r="I14" s="29">
        <f>'01_Master_Portfolio'!L14</f>
        <v/>
      </c>
    </row>
    <row r="15">
      <c r="A15" s="9" t="inlineStr">
        <is>
          <t>P11</t>
        </is>
      </c>
      <c r="B15" s="9" t="inlineStr">
        <is>
          <t>cloud-waste-radar</t>
        </is>
      </c>
      <c r="C15" s="29">
        <f>'01_Master_Portfolio'!F15</f>
        <v/>
      </c>
      <c r="D15" s="29">
        <f>'01_Master_Portfolio'!G15</f>
        <v/>
      </c>
      <c r="E15" s="29">
        <f>'01_Master_Portfolio'!H15</f>
        <v/>
      </c>
      <c r="F15" s="29">
        <f>'01_Master_Portfolio'!I15</f>
        <v/>
      </c>
      <c r="G15" s="29">
        <f>'01_Master_Portfolio'!J15</f>
        <v/>
      </c>
      <c r="H15" s="29">
        <f>'01_Master_Portfolio'!K15</f>
        <v/>
      </c>
      <c r="I15" s="29">
        <f>'01_Master_Portfolio'!L15</f>
        <v/>
      </c>
    </row>
    <row r="16">
      <c r="A16" s="9" t="inlineStr">
        <is>
          <t>P12</t>
        </is>
      </c>
      <c r="B16" s="9" t="inlineStr">
        <is>
          <t>dev-onboard-os</t>
        </is>
      </c>
      <c r="C16" s="29">
        <f>'01_Master_Portfolio'!F16</f>
        <v/>
      </c>
      <c r="D16" s="29">
        <f>'01_Master_Portfolio'!G16</f>
        <v/>
      </c>
      <c r="E16" s="29">
        <f>'01_Master_Portfolio'!H16</f>
        <v/>
      </c>
      <c r="F16" s="29">
        <f>'01_Master_Portfolio'!I16</f>
        <v/>
      </c>
      <c r="G16" s="29">
        <f>'01_Master_Portfolio'!J16</f>
        <v/>
      </c>
      <c r="H16" s="29">
        <f>'01_Master_Portfolio'!K16</f>
        <v/>
      </c>
      <c r="I16" s="29">
        <f>'01_Master_Portfolio'!L16</f>
        <v/>
      </c>
    </row>
    <row r="17">
      <c r="A17" s="9" t="inlineStr">
        <is>
          <t>P13</t>
        </is>
      </c>
      <c r="B17" s="9" t="inlineStr">
        <is>
          <t>sbom-lite</t>
        </is>
      </c>
      <c r="C17" s="29">
        <f>'01_Master_Portfolio'!F17</f>
        <v/>
      </c>
      <c r="D17" s="29">
        <f>'01_Master_Portfolio'!G17</f>
        <v/>
      </c>
      <c r="E17" s="29">
        <f>'01_Master_Portfolio'!H17</f>
        <v/>
      </c>
      <c r="F17" s="29">
        <f>'01_Master_Portfolio'!I17</f>
        <v/>
      </c>
      <c r="G17" s="29">
        <f>'01_Master_Portfolio'!J17</f>
        <v/>
      </c>
      <c r="H17" s="29">
        <f>'01_Master_Portfolio'!K17</f>
        <v/>
      </c>
      <c r="I17" s="29">
        <f>'01_Master_Portfolio'!L17</f>
        <v/>
      </c>
    </row>
    <row r="18">
      <c r="A18" s="9" t="inlineStr">
        <is>
          <t>P14</t>
        </is>
      </c>
      <c r="B18" s="9" t="inlineStr">
        <is>
          <t>grc-evidence-autopilot</t>
        </is>
      </c>
      <c r="C18" s="29">
        <f>'01_Master_Portfolio'!F18</f>
        <v/>
      </c>
      <c r="D18" s="29">
        <f>'01_Master_Portfolio'!G18</f>
        <v/>
      </c>
      <c r="E18" s="29">
        <f>'01_Master_Portfolio'!H18</f>
        <v/>
      </c>
      <c r="F18" s="29">
        <f>'01_Master_Portfolio'!I18</f>
        <v/>
      </c>
      <c r="G18" s="29">
        <f>'01_Master_Portfolio'!J18</f>
        <v/>
      </c>
      <c r="H18" s="29">
        <f>'01_Master_Portfolio'!K18</f>
        <v/>
      </c>
      <c r="I18" s="29">
        <f>'01_Master_Portfolio'!L18</f>
        <v/>
      </c>
    </row>
    <row r="19">
      <c r="A19" s="9" t="inlineStr">
        <is>
          <t>P15</t>
        </is>
      </c>
      <c r="B19" s="9" t="inlineStr">
        <is>
          <t>wa-ops-desk</t>
        </is>
      </c>
      <c r="C19" s="29">
        <f>'01_Master_Portfolio'!F19</f>
        <v/>
      </c>
      <c r="D19" s="29">
        <f>'01_Master_Portfolio'!G19</f>
        <v/>
      </c>
      <c r="E19" s="29">
        <f>'01_Master_Portfolio'!H19</f>
        <v/>
      </c>
      <c r="F19" s="29">
        <f>'01_Master_Portfolio'!I19</f>
        <v/>
      </c>
      <c r="G19" s="29">
        <f>'01_Master_Portfolio'!J19</f>
        <v/>
      </c>
      <c r="H19" s="29">
        <f>'01_Master_Portfolio'!K19</f>
        <v/>
      </c>
      <c r="I19" s="29">
        <f>'01_Master_Portfolio'!L19</f>
        <v/>
      </c>
    </row>
    <row r="20">
      <c r="A20" s="9" t="inlineStr">
        <is>
          <t>P16</t>
        </is>
      </c>
      <c r="B20" s="9" t="inlineStr">
        <is>
          <t>gst-ops-copilot</t>
        </is>
      </c>
      <c r="C20" s="29">
        <f>'01_Master_Portfolio'!F20</f>
        <v/>
      </c>
      <c r="D20" s="29">
        <f>'01_Master_Portfolio'!G20</f>
        <v/>
      </c>
      <c r="E20" s="29">
        <f>'01_Master_Portfolio'!H20</f>
        <v/>
      </c>
      <c r="F20" s="29">
        <f>'01_Master_Portfolio'!I20</f>
        <v/>
      </c>
      <c r="G20" s="29">
        <f>'01_Master_Portfolio'!J20</f>
        <v/>
      </c>
      <c r="H20" s="29">
        <f>'01_Master_Portfolio'!K20</f>
        <v/>
      </c>
      <c r="I20" s="29">
        <f>'01_Master_Portfolio'!L20</f>
        <v/>
      </c>
    </row>
    <row r="21">
      <c r="A21" s="9" t="inlineStr">
        <is>
          <t>P17</t>
        </is>
      </c>
      <c r="B21" s="9" t="inlineStr">
        <is>
          <t>appt-book-india</t>
        </is>
      </c>
      <c r="C21" s="29">
        <f>'01_Master_Portfolio'!F21</f>
        <v/>
      </c>
      <c r="D21" s="29">
        <f>'01_Master_Portfolio'!G21</f>
        <v/>
      </c>
      <c r="E21" s="29">
        <f>'01_Master_Portfolio'!H21</f>
        <v/>
      </c>
      <c r="F21" s="29">
        <f>'01_Master_Portfolio'!I21</f>
        <v/>
      </c>
      <c r="G21" s="29">
        <f>'01_Master_Portfolio'!J21</f>
        <v/>
      </c>
      <c r="H21" s="29">
        <f>'01_Master_Portfolio'!K21</f>
        <v/>
      </c>
      <c r="I21" s="29">
        <f>'01_Master_Portfolio'!L21</f>
        <v/>
      </c>
    </row>
    <row r="22">
      <c r="A22" s="9" t="inlineStr">
        <is>
          <t>P18</t>
        </is>
      </c>
      <c r="B22" s="9" t="inlineStr">
        <is>
          <t>clinic-admin-lite</t>
        </is>
      </c>
      <c r="C22" s="29">
        <f>'01_Master_Portfolio'!F22</f>
        <v/>
      </c>
      <c r="D22" s="29">
        <f>'01_Master_Portfolio'!G22</f>
        <v/>
      </c>
      <c r="E22" s="29">
        <f>'01_Master_Portfolio'!H22</f>
        <v/>
      </c>
      <c r="F22" s="29">
        <f>'01_Master_Portfolio'!I22</f>
        <v/>
      </c>
      <c r="G22" s="29">
        <f>'01_Master_Portfolio'!J22</f>
        <v/>
      </c>
      <c r="H22" s="29">
        <f>'01_Master_Portfolio'!K22</f>
        <v/>
      </c>
      <c r="I22" s="29">
        <f>'01_Master_Portfolio'!L22</f>
        <v/>
      </c>
    </row>
    <row r="23">
      <c r="A23" s="9" t="inlineStr">
        <is>
          <t>P19</t>
        </is>
      </c>
      <c r="B23" s="9" t="inlineStr">
        <is>
          <t>learn-loop</t>
        </is>
      </c>
      <c r="C23" s="29">
        <f>'01_Master_Portfolio'!F23</f>
        <v/>
      </c>
      <c r="D23" s="29">
        <f>'01_Master_Portfolio'!G23</f>
        <v/>
      </c>
      <c r="E23" s="29">
        <f>'01_Master_Portfolio'!H23</f>
        <v/>
      </c>
      <c r="F23" s="29">
        <f>'01_Master_Portfolio'!I23</f>
        <v/>
      </c>
      <c r="G23" s="29">
        <f>'01_Master_Portfolio'!J23</f>
        <v/>
      </c>
      <c r="H23" s="29">
        <f>'01_Master_Portfolio'!K23</f>
        <v/>
      </c>
      <c r="I23" s="29">
        <f>'01_Master_Portfolio'!L23</f>
        <v/>
      </c>
    </row>
    <row r="24">
      <c r="A24" s="9" t="inlineStr">
        <is>
          <t>P20</t>
        </is>
      </c>
      <c r="B24" s="9" t="inlineStr">
        <is>
          <t>cyber-smb-shield</t>
        </is>
      </c>
      <c r="C24" s="29">
        <f>'01_Master_Portfolio'!F24</f>
        <v/>
      </c>
      <c r="D24" s="29">
        <f>'01_Master_Portfolio'!G24</f>
        <v/>
      </c>
      <c r="E24" s="29">
        <f>'01_Master_Portfolio'!H24</f>
        <v/>
      </c>
      <c r="F24" s="29">
        <f>'01_Master_Portfolio'!I24</f>
        <v/>
      </c>
      <c r="G24" s="29">
        <f>'01_Master_Portfolio'!J24</f>
        <v/>
      </c>
      <c r="H24" s="29">
        <f>'01_Master_Portfolio'!K24</f>
        <v/>
      </c>
      <c r="I24" s="29">
        <f>'01_Master_Portfolio'!L24</f>
        <v/>
      </c>
    </row>
    <row r="25">
      <c r="A25" s="9" t="inlineStr">
        <is>
          <t>P21</t>
        </is>
      </c>
      <c r="B25" s="9" t="inlineStr">
        <is>
          <t>data-quality-guard</t>
        </is>
      </c>
      <c r="C25" s="29">
        <f>'01_Master_Portfolio'!F25</f>
        <v/>
      </c>
      <c r="D25" s="29">
        <f>'01_Master_Portfolio'!G25</f>
        <v/>
      </c>
      <c r="E25" s="29">
        <f>'01_Master_Portfolio'!H25</f>
        <v/>
      </c>
      <c r="F25" s="29">
        <f>'01_Master_Portfolio'!I25</f>
        <v/>
      </c>
      <c r="G25" s="29">
        <f>'01_Master_Portfolio'!J25</f>
        <v/>
      </c>
      <c r="H25" s="29">
        <f>'01_Master_Portfolio'!K25</f>
        <v/>
      </c>
      <c r="I25" s="29">
        <f>'01_Master_Portfolio'!L25</f>
        <v/>
      </c>
    </row>
    <row r="26">
      <c r="A26" s="9" t="inlineStr">
        <is>
          <t>P22</t>
        </is>
      </c>
      <c r="B26" s="9" t="inlineStr">
        <is>
          <t>care-companion</t>
        </is>
      </c>
      <c r="C26" s="29">
        <f>'01_Master_Portfolio'!F26</f>
        <v/>
      </c>
      <c r="D26" s="29">
        <f>'01_Master_Portfolio'!G26</f>
        <v/>
      </c>
      <c r="E26" s="29">
        <f>'01_Master_Portfolio'!H26</f>
        <v/>
      </c>
      <c r="F26" s="29">
        <f>'01_Master_Portfolio'!I26</f>
        <v/>
      </c>
      <c r="G26" s="29">
        <f>'01_Master_Portfolio'!J26</f>
        <v/>
      </c>
      <c r="H26" s="29">
        <f>'01_Master_Portfolio'!K26</f>
        <v/>
      </c>
      <c r="I26" s="29">
        <f>'01_Master_Portfolio'!L26</f>
        <v/>
      </c>
    </row>
    <row r="27">
      <c r="A27" s="9" t="inlineStr">
        <is>
          <t>P23</t>
        </is>
      </c>
      <c r="B27" s="9" t="inlineStr">
        <is>
          <t>personal-crm</t>
        </is>
      </c>
      <c r="C27" s="29">
        <f>'01_Master_Portfolio'!F27</f>
        <v/>
      </c>
      <c r="D27" s="29">
        <f>'01_Master_Portfolio'!G27</f>
        <v/>
      </c>
      <c r="E27" s="29">
        <f>'01_Master_Portfolio'!H27</f>
        <v/>
      </c>
      <c r="F27" s="29">
        <f>'01_Master_Portfolio'!I27</f>
        <v/>
      </c>
      <c r="G27" s="29">
        <f>'01_Master_Portfolio'!J27</f>
        <v/>
      </c>
      <c r="H27" s="29">
        <f>'01_Master_Portfolio'!K27</f>
        <v/>
      </c>
      <c r="I27" s="29">
        <f>'01_Master_Portfolio'!L27</f>
        <v/>
      </c>
    </row>
    <row r="28">
      <c r="A28" s="9" t="inlineStr">
        <is>
          <t>P24</t>
        </is>
      </c>
      <c r="B28" s="9" t="inlineStr">
        <is>
          <t>creator-ops</t>
        </is>
      </c>
      <c r="C28" s="29">
        <f>'01_Master_Portfolio'!F28</f>
        <v/>
      </c>
      <c r="D28" s="29">
        <f>'01_Master_Portfolio'!G28</f>
        <v/>
      </c>
      <c r="E28" s="29">
        <f>'01_Master_Portfolio'!H28</f>
        <v/>
      </c>
      <c r="F28" s="29">
        <f>'01_Master_Portfolio'!I28</f>
        <v/>
      </c>
      <c r="G28" s="29">
        <f>'01_Master_Portfolio'!J28</f>
        <v/>
      </c>
      <c r="H28" s="29">
        <f>'01_Master_Portfolio'!K28</f>
        <v/>
      </c>
      <c r="I28" s="29">
        <f>'01_Master_Portfolio'!L28</f>
        <v/>
      </c>
    </row>
    <row r="29">
      <c r="A29" s="9" t="inlineStr">
        <is>
          <t>P25</t>
        </is>
      </c>
      <c r="B29" s="9" t="inlineStr">
        <is>
          <t>climate-ops-meter</t>
        </is>
      </c>
      <c r="C29" s="29">
        <f>'01_Master_Portfolio'!F29</f>
        <v/>
      </c>
      <c r="D29" s="29">
        <f>'01_Master_Portfolio'!G29</f>
        <v/>
      </c>
      <c r="E29" s="29">
        <f>'01_Master_Portfolio'!H29</f>
        <v/>
      </c>
      <c r="F29" s="29">
        <f>'01_Master_Portfolio'!I29</f>
        <v/>
      </c>
      <c r="G29" s="29">
        <f>'01_Master_Portfolio'!J29</f>
        <v/>
      </c>
      <c r="H29" s="29">
        <f>'01_Master_Portfolio'!K29</f>
        <v/>
      </c>
      <c r="I29" s="29">
        <f>'01_Master_Portfolio'!L29</f>
        <v/>
      </c>
    </row>
    <row r="30">
      <c r="A30" s="9" t="inlineStr">
        <is>
          <t>P26</t>
        </is>
      </c>
      <c r="B30" s="9" t="inlineStr">
        <is>
          <t>supply-chain-visibility-lite</t>
        </is>
      </c>
      <c r="C30" s="29">
        <f>'01_Master_Portfolio'!F30</f>
        <v/>
      </c>
      <c r="D30" s="29">
        <f>'01_Master_Portfolio'!G30</f>
        <v/>
      </c>
      <c r="E30" s="29">
        <f>'01_Master_Portfolio'!H30</f>
        <v/>
      </c>
      <c r="F30" s="29">
        <f>'01_Master_Portfolio'!I30</f>
        <v/>
      </c>
      <c r="G30" s="29">
        <f>'01_Master_Portfolio'!J30</f>
        <v/>
      </c>
      <c r="H30" s="29">
        <f>'01_Master_Portfolio'!K30</f>
        <v/>
      </c>
      <c r="I30" s="29">
        <f>'01_Master_Portfolio'!L30</f>
        <v/>
      </c>
    </row>
    <row r="31">
      <c r="A31" s="9" t="inlineStr">
        <is>
          <t>P27</t>
        </is>
      </c>
      <c r="B31" s="9" t="inlineStr">
        <is>
          <t>focus-forge</t>
        </is>
      </c>
      <c r="C31" s="29">
        <f>'01_Master_Portfolio'!F31</f>
        <v/>
      </c>
      <c r="D31" s="29">
        <f>'01_Master_Portfolio'!G31</f>
        <v/>
      </c>
      <c r="E31" s="29">
        <f>'01_Master_Portfolio'!H31</f>
        <v/>
      </c>
      <c r="F31" s="29">
        <f>'01_Master_Portfolio'!I31</f>
        <v/>
      </c>
      <c r="G31" s="29">
        <f>'01_Master_Portfolio'!J31</f>
        <v/>
      </c>
      <c r="H31" s="29">
        <f>'01_Master_Portfolio'!K31</f>
        <v/>
      </c>
      <c r="I31" s="29">
        <f>'01_Master_Portfolio'!L31</f>
        <v/>
      </c>
    </row>
    <row r="32">
      <c r="A32" s="9" t="inlineStr">
        <is>
          <t>P28</t>
        </is>
      </c>
      <c r="B32" s="9" t="inlineStr">
        <is>
          <t>api-contract-sentinel</t>
        </is>
      </c>
      <c r="C32" s="29">
        <f>'01_Master_Portfolio'!F32</f>
        <v/>
      </c>
      <c r="D32" s="29">
        <f>'01_Master_Portfolio'!G32</f>
        <v/>
      </c>
      <c r="E32" s="29">
        <f>'01_Master_Portfolio'!H32</f>
        <v/>
      </c>
      <c r="F32" s="29">
        <f>'01_Master_Portfolio'!I32</f>
        <v/>
      </c>
      <c r="G32" s="29">
        <f>'01_Master_Portfolio'!J32</f>
        <v/>
      </c>
      <c r="H32" s="29">
        <f>'01_Master_Portfolio'!K32</f>
        <v/>
      </c>
      <c r="I32" s="29">
        <f>'01_Master_Portfolio'!L32</f>
        <v/>
      </c>
    </row>
    <row r="33">
      <c r="A33" s="9" t="inlineStr">
        <is>
          <t>P29</t>
        </is>
      </c>
      <c r="B33" s="9" t="inlineStr">
        <is>
          <t>agent-skill-scan</t>
        </is>
      </c>
      <c r="C33" s="29">
        <f>'01_Master_Portfolio'!F33</f>
        <v/>
      </c>
      <c r="D33" s="29">
        <f>'01_Master_Portfolio'!G33</f>
        <v/>
      </c>
      <c r="E33" s="29">
        <f>'01_Master_Portfolio'!H33</f>
        <v/>
      </c>
      <c r="F33" s="29">
        <f>'01_Master_Portfolio'!I33</f>
        <v/>
      </c>
      <c r="G33" s="29">
        <f>'01_Master_Portfolio'!J33</f>
        <v/>
      </c>
      <c r="H33" s="29">
        <f>'01_Master_Portfolio'!K33</f>
        <v/>
      </c>
      <c r="I33" s="29">
        <f>'01_Master_Portfolio'!L33</f>
        <v/>
      </c>
    </row>
    <row r="34">
      <c r="A34" s="9" t="inlineStr">
        <is>
          <t>P30</t>
        </is>
      </c>
      <c r="B34" s="9" t="inlineStr">
        <is>
          <t>agent-spend-guard</t>
        </is>
      </c>
      <c r="C34" s="29">
        <f>'01_Master_Portfolio'!F34</f>
        <v/>
      </c>
      <c r="D34" s="29">
        <f>'01_Master_Portfolio'!G34</f>
        <v/>
      </c>
      <c r="E34" s="29">
        <f>'01_Master_Portfolio'!H34</f>
        <v/>
      </c>
      <c r="F34" s="29">
        <f>'01_Master_Portfolio'!I34</f>
        <v/>
      </c>
      <c r="G34" s="29">
        <f>'01_Master_Portfolio'!J34</f>
        <v/>
      </c>
      <c r="H34" s="29">
        <f>'01_Master_Portfolio'!K34</f>
        <v/>
      </c>
      <c r="I34" s="29">
        <f>'01_Master_Portfolio'!L34</f>
        <v/>
      </c>
    </row>
    <row r="35">
      <c r="A35" s="9" t="inlineStr">
        <is>
          <t>P31</t>
        </is>
      </c>
      <c r="B35" s="9" t="inlineStr">
        <is>
          <t>indic-voice-flow</t>
        </is>
      </c>
      <c r="C35" s="29">
        <f>'01_Master_Portfolio'!F35</f>
        <v/>
      </c>
      <c r="D35" s="29">
        <f>'01_Master_Portfolio'!G35</f>
        <v/>
      </c>
      <c r="E35" s="29">
        <f>'01_Master_Portfolio'!H35</f>
        <v/>
      </c>
      <c r="F35" s="29">
        <f>'01_Master_Portfolio'!I35</f>
        <v/>
      </c>
      <c r="G35" s="29">
        <f>'01_Master_Portfolio'!J35</f>
        <v/>
      </c>
      <c r="H35" s="29">
        <f>'01_Master_Portfolio'!K35</f>
        <v/>
      </c>
      <c r="I35" s="29">
        <f>'01_Master_Portfolio'!L35</f>
        <v/>
      </c>
    </row>
    <row r="36">
      <c r="A36" s="9" t="inlineStr">
        <is>
          <t>P32</t>
        </is>
      </c>
      <c r="B36" s="9" t="inlineStr">
        <is>
          <t>pr-triage</t>
        </is>
      </c>
      <c r="C36" s="29">
        <f>'01_Master_Portfolio'!F36</f>
        <v/>
      </c>
      <c r="D36" s="29">
        <f>'01_Master_Portfolio'!G36</f>
        <v/>
      </c>
      <c r="E36" s="29">
        <f>'01_Master_Portfolio'!H36</f>
        <v/>
      </c>
      <c r="F36" s="29">
        <f>'01_Master_Portfolio'!I36</f>
        <v/>
      </c>
      <c r="G36" s="29">
        <f>'01_Master_Portfolio'!J36</f>
        <v/>
      </c>
      <c r="H36" s="29">
        <f>'01_Master_Portfolio'!K36</f>
        <v/>
      </c>
      <c r="I36" s="29">
        <f>'01_Master_Portfolio'!L36</f>
        <v/>
      </c>
    </row>
    <row r="38">
      <c r="A38" s="30" t="inlineStr">
        <is>
          <t>Tip: Sort by TOTAL descending in Excel (Data → Sort) or filter Priority=NOW.</t>
        </is>
      </c>
    </row>
    <row r="40">
      <c r="A40" s="17" t="inlineStr">
        <is>
          <t>Pipeline counts</t>
        </is>
      </c>
    </row>
    <row r="41">
      <c r="A41" s="19" t="inlineStr">
        <is>
          <t>NOW</t>
        </is>
      </c>
      <c r="B41" s="26">
        <f>COUNTIF(I5:I36,"NOW")</f>
        <v/>
      </c>
    </row>
    <row r="42">
      <c r="A42" s="19" t="inlineStr">
        <is>
          <t>NEXT</t>
        </is>
      </c>
      <c r="B42" s="26">
        <f>COUNTIF(I5:I36,"NEXT")</f>
        <v/>
      </c>
    </row>
    <row r="43">
      <c r="A43" s="19" t="inlineStr">
        <is>
          <t>LATER</t>
        </is>
      </c>
      <c r="B43" s="26">
        <f>COUNTIF(I5:I36,"LATER")</f>
        <v/>
      </c>
    </row>
    <row r="44">
      <c r="A44" s="19" t="inlineStr">
        <is>
          <t>PARK</t>
        </is>
      </c>
      <c r="B44" s="26">
        <f>COUNTIF(I5:I36,"PARK")</f>
        <v/>
      </c>
    </row>
  </sheetData>
  <mergeCells count="1">
    <mergeCell ref="A1:I1"/>
  </mergeCells>
  <conditionalFormatting sqref="H5:H36">
    <cfRule type="colorScale" priority="1">
      <colorScale>
        <cfvo type="min"/>
        <cfvo type="percentile" val="50"/>
        <cfvo type="max"/>
        <color rgb="00F8696B"/>
        <color rgb="00FFEB84"/>
        <color rgb="0063BE7B"/>
      </colorScale>
    </cfRule>
  </conditionalFormatting>
  <conditionalFormatting sqref="C5:G36">
    <cfRule type="colorScale" priority="2">
      <colorScale>
        <cfvo type="num" val="1"/>
        <cfvo type="num" val="3"/>
        <cfvo type="num" val="5"/>
        <color rgb="00F8696B"/>
        <color rgb="00FFEB84"/>
        <color rgb="0063BE7B"/>
      </colorScale>
    </cfRule>
  </conditionalFormatting>
  <conditionalFormatting sqref="I5:I36">
    <cfRule type="expression" priority="3" dxfId="0">
      <formula>$I5="NOW"</formula>
    </cfRule>
    <cfRule type="expression" priority="4" dxfId="1">
      <formula>$I5="NEXT"</formula>
    </cfRule>
    <cfRule type="expression" priority="5" dxfId="2">
      <formula>$I5="LATER"</formula>
    </cfRule>
    <cfRule type="expression" priority="6" dxfId="3">
      <formula>$I5="PARK"</formula>
    </cfRule>
  </conditionalFormatting>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6" customWidth="1" min="1" max="1"/>
    <col width="24" customWidth="1" min="2" max="2"/>
    <col width="8" customWidth="1" min="3" max="3"/>
    <col width="24" customWidth="1" min="4" max="4"/>
    <col width="16" customWidth="1" min="5" max="5"/>
    <col width="20" customWidth="1" min="6" max="6"/>
    <col width="48" customWidth="1" min="7" max="7"/>
  </cols>
  <sheetData>
    <row r="1">
      <c r="A1" s="1" t="inlineStr">
        <is>
          <t>Delivery Pipeline by Priority Band</t>
        </is>
      </c>
    </row>
    <row r="2">
      <c r="A2" s="7" t="inlineStr">
        <is>
          <t>Phases populated from Master scores at generation time (static snapshot of assignment). Re-run generator after major score changes, or sort Master by Priority.</t>
        </is>
      </c>
    </row>
    <row r="4">
      <c r="A4" s="3" t="inlineStr">
        <is>
          <t>NOW — Ship / double-down (next 30–60 days)</t>
        </is>
      </c>
      <c r="B4" s="4" t="n"/>
      <c r="C4" s="4" t="n"/>
      <c r="D4" s="4" t="n"/>
      <c r="E4" s="4" t="n"/>
      <c r="F4" s="4" t="n"/>
      <c r="G4" s="4" t="n"/>
    </row>
    <row r="5">
      <c r="A5" s="8" t="inlineStr">
        <is>
          <t>ID</t>
        </is>
      </c>
      <c r="B5" s="8" t="inlineStr">
        <is>
          <t>Name</t>
        </is>
      </c>
      <c r="C5" s="8" t="inlineStr">
        <is>
          <t>TOTAL</t>
        </is>
      </c>
      <c r="D5" s="8" t="inlineStr">
        <is>
          <t>Category</t>
        </is>
      </c>
      <c r="E5" s="8" t="inlineStr">
        <is>
          <t>Stage</t>
        </is>
      </c>
      <c r="F5" s="8" t="inlineStr">
        <is>
          <t>Repo</t>
        </is>
      </c>
      <c r="G5" s="8" t="inlineStr">
        <is>
          <t>Primary action</t>
        </is>
      </c>
    </row>
    <row r="6" ht="30" customHeight="1">
      <c r="A6" s="31" t="inlineStr">
        <is>
          <t>P01</t>
        </is>
      </c>
      <c r="B6" s="31" t="inlineStr">
        <is>
          <t>instruct-sync</t>
        </is>
      </c>
      <c r="C6" s="32" t="n">
        <v>23</v>
      </c>
      <c r="D6" s="31" t="inlineStr">
        <is>
          <t>AI Tooling</t>
        </is>
      </c>
      <c r="E6" s="31" t="inlineStr">
        <is>
          <t>Shipped / iterate</t>
        </is>
      </c>
      <c r="F6" s="31" t="inlineStr">
        <is>
          <t>instruct-sync</t>
        </is>
      </c>
      <c r="G6" s="33" t="inlineStr">
        <is>
          <t>Grow npm adoption; launch posts (Show HN, r/cursor); suite cross-links</t>
        </is>
      </c>
    </row>
    <row r="7" ht="30" customHeight="1">
      <c r="A7" s="31" t="inlineStr">
        <is>
          <t>P29</t>
        </is>
      </c>
      <c r="B7" s="31" t="inlineStr">
        <is>
          <t>agent-skill-scan</t>
        </is>
      </c>
      <c r="C7" s="32" t="n">
        <v>23</v>
      </c>
      <c r="D7" s="31" t="inlineStr">
        <is>
          <t>AI Tooling / Security</t>
        </is>
      </c>
      <c r="E7" s="31" t="inlineStr">
        <is>
          <t>Design / build next</t>
        </is>
      </c>
      <c r="F7" s="31" t="inlineStr">
        <is>
          <t>agent-skill-scan</t>
        </is>
      </c>
      <c r="G7" s="33" t="inlineStr">
        <is>
          <t>Build next (≈3 wks) from setup-doctor parsers; launch on ToxicSkills narrative</t>
        </is>
      </c>
    </row>
    <row r="8" ht="30" customHeight="1">
      <c r="A8" s="31" t="inlineStr">
        <is>
          <t>P02</t>
        </is>
      </c>
      <c r="B8" s="31" t="inlineStr">
        <is>
          <t>ai-setup-doctor</t>
        </is>
      </c>
      <c r="C8" s="32" t="n">
        <v>22</v>
      </c>
      <c r="D8" s="31" t="inlineStr">
        <is>
          <t>AI Tooling</t>
        </is>
      </c>
      <c r="E8" s="31" t="inlineStr">
        <is>
          <t>Shipped / iterate</t>
        </is>
      </c>
      <c r="F8" s="31" t="inlineStr">
        <is>
          <t>ai-setup-doctor</t>
        </is>
      </c>
      <c r="G8" s="33" t="inlineStr">
        <is>
          <t>Published — tighten checks; funnel from instruct-sync README</t>
        </is>
      </c>
    </row>
    <row r="9" ht="30" customHeight="1">
      <c r="A9" s="31" t="inlineStr">
        <is>
          <t>P03</t>
        </is>
      </c>
      <c r="B9" s="31" t="inlineStr">
        <is>
          <t>mcp-sync</t>
        </is>
      </c>
      <c r="C9" s="32" t="n">
        <v>21</v>
      </c>
      <c r="D9" s="31" t="inlineStr">
        <is>
          <t>AI Tooling</t>
        </is>
      </c>
      <c r="E9" s="31" t="inlineStr">
        <is>
          <t>Shipped / iterate</t>
        </is>
      </c>
      <c r="F9" s="31" t="inlineStr">
        <is>
          <t>mcp-sync</t>
        </is>
      </c>
      <c r="G9" s="33" t="inlineStr">
        <is>
          <t>Published — consolidate naming (@bhaskarauthor/mcp-sync vs mcp-config-sync); adoption</t>
        </is>
      </c>
    </row>
    <row r="10" ht="30" customHeight="1">
      <c r="A10" s="31" t="inlineStr">
        <is>
          <t>P04</t>
        </is>
      </c>
      <c r="B10" s="31" t="inlineStr">
        <is>
          <t>secret-guard</t>
        </is>
      </c>
      <c r="C10" s="32" t="n">
        <v>21</v>
      </c>
      <c r="D10" s="31" t="inlineStr">
        <is>
          <t>AI Tooling / Security</t>
        </is>
      </c>
      <c r="E10" s="31" t="inlineStr">
        <is>
          <t>Research</t>
        </is>
      </c>
      <c r="F10" s="31" t="inlineStr">
        <is>
          <t>secret-guard</t>
        </is>
      </c>
      <c r="G10" s="33" t="inlineStr">
        <is>
          <t>Fold secret checks into P29 agent-skill-scan scope</t>
        </is>
      </c>
    </row>
    <row r="11" ht="30" customHeight="1">
      <c r="A11" s="31" t="inlineStr">
        <is>
          <t>P30</t>
        </is>
      </c>
      <c r="B11" s="31" t="inlineStr">
        <is>
          <t>agent-spend-guard</t>
        </is>
      </c>
      <c r="C11" s="32" t="n">
        <v>21</v>
      </c>
      <c r="D11" s="31" t="inlineStr">
        <is>
          <t>AI Tooling / FinOps</t>
        </is>
      </c>
      <c r="E11" s="31" t="inlineStr">
        <is>
          <t>Design</t>
        </is>
      </c>
      <c r="F11" s="31" t="inlineStr">
        <is>
          <t>agent-spend-guard</t>
        </is>
      </c>
      <c r="G11" s="33" t="inlineStr">
        <is>
          <t>Design budget/kill-switch UX; 5 eng-manager interviews; build after P29</t>
        </is>
      </c>
    </row>
    <row r="14">
      <c r="A14" s="3" t="inlineStr">
        <is>
          <t>NEXT — Validate &amp; stage (60–120 days)</t>
        </is>
      </c>
      <c r="B14" s="4" t="n"/>
      <c r="C14" s="4" t="n"/>
      <c r="D14" s="4" t="n"/>
      <c r="E14" s="4" t="n"/>
      <c r="F14" s="4" t="n"/>
      <c r="G14" s="4" t="n"/>
    </row>
    <row r="15">
      <c r="A15" s="8" t="inlineStr">
        <is>
          <t>ID</t>
        </is>
      </c>
      <c r="B15" s="8" t="inlineStr">
        <is>
          <t>Name</t>
        </is>
      </c>
      <c r="C15" s="8" t="inlineStr">
        <is>
          <t>TOTAL</t>
        </is>
      </c>
      <c r="D15" s="8" t="inlineStr">
        <is>
          <t>Category</t>
        </is>
      </c>
      <c r="E15" s="8" t="inlineStr">
        <is>
          <t>Stage</t>
        </is>
      </c>
      <c r="F15" s="8" t="inlineStr">
        <is>
          <t>Repo</t>
        </is>
      </c>
      <c r="G15" s="8" t="inlineStr">
        <is>
          <t>Primary action</t>
        </is>
      </c>
    </row>
    <row r="16" ht="30" customHeight="1">
      <c r="A16" s="34" t="inlineStr">
        <is>
          <t>P05</t>
        </is>
      </c>
      <c r="B16" s="34" t="inlineStr">
        <is>
          <t>llm-spend</t>
        </is>
      </c>
      <c r="C16" s="35" t="n">
        <v>19</v>
      </c>
      <c r="D16" s="34" t="inlineStr">
        <is>
          <t>AI Tooling / FinOps</t>
        </is>
      </c>
      <c r="E16" s="34" t="inlineStr">
        <is>
          <t>Research</t>
        </is>
      </c>
      <c r="F16" s="34" t="inlineStr">
        <is>
          <t>llm-spend</t>
        </is>
      </c>
      <c r="G16" s="36" t="inlineStr">
        <is>
          <t>Superseded for NOW by P30; revisit as broad platform LATER</t>
        </is>
      </c>
    </row>
    <row r="17" ht="30" customHeight="1">
      <c r="A17" s="34" t="inlineStr">
        <is>
          <t>P06</t>
        </is>
      </c>
      <c r="B17" s="34" t="inlineStr">
        <is>
          <t>skill-sync</t>
        </is>
      </c>
      <c r="C17" s="35" t="n">
        <v>18</v>
      </c>
      <c r="D17" s="34" t="inlineStr">
        <is>
          <t>AI Tooling</t>
        </is>
      </c>
      <c r="E17" s="34" t="inlineStr">
        <is>
          <t>Watch</t>
        </is>
      </c>
      <c r="F17" s="34" t="inlineStr">
        <is>
          <t>skill-sync</t>
        </is>
      </c>
      <c r="G17" s="36" t="inlineStr">
        <is>
          <t>LATER after instruct/mcp patterns proven</t>
        </is>
      </c>
    </row>
    <row r="18" ht="30" customHeight="1">
      <c r="A18" s="34" t="inlineStr">
        <is>
          <t>P08</t>
        </is>
      </c>
      <c r="B18" s="34" t="inlineStr">
        <is>
          <t>eval-harness</t>
        </is>
      </c>
      <c r="C18" s="35" t="n">
        <v>18</v>
      </c>
      <c r="D18" s="34" t="inlineStr">
        <is>
          <t>AI Tooling</t>
        </is>
      </c>
      <c r="E18" s="34" t="inlineStr">
        <is>
          <t>Research</t>
        </is>
      </c>
      <c r="F18" s="34" t="inlineStr">
        <is>
          <t>eval-harness</t>
        </is>
      </c>
      <c r="G18" s="36" t="inlineStr">
        <is>
          <t>NEXT if design partner; else watch</t>
        </is>
      </c>
    </row>
    <row r="19" ht="30" customHeight="1">
      <c r="A19" s="34" t="inlineStr">
        <is>
          <t>P15</t>
        </is>
      </c>
      <c r="B19" s="34" t="inlineStr">
        <is>
          <t>wa-ops-desk</t>
        </is>
      </c>
      <c r="C19" s="35" t="n">
        <v>18</v>
      </c>
      <c r="D19" s="34" t="inlineStr">
        <is>
          <t>India SMB / WhatsApp Ops</t>
        </is>
      </c>
      <c r="E19" s="34" t="inlineStr">
        <is>
          <t>Research</t>
        </is>
      </c>
      <c r="F19" s="34" t="inlineStr">
        <is>
          <t>wa-ops-desk</t>
        </is>
      </c>
      <c r="G19" s="36" t="inlineStr">
        <is>
          <t>Pick vertical; Meta BSP sandbox; 10 SMB interviews</t>
        </is>
      </c>
    </row>
    <row r="20" ht="30" customHeight="1">
      <c r="A20" s="34" t="inlineStr">
        <is>
          <t>P17</t>
        </is>
      </c>
      <c r="B20" s="34" t="inlineStr">
        <is>
          <t>appt-book-india</t>
        </is>
      </c>
      <c r="C20" s="35" t="n">
        <v>18</v>
      </c>
      <c r="D20" s="34" t="inlineStr">
        <is>
          <t>India SMB / Appointments</t>
        </is>
      </c>
      <c r="E20" s="34" t="inlineStr">
        <is>
          <t>Research</t>
        </is>
      </c>
      <c r="F20" s="34" t="inlineStr">
        <is>
          <t>appt-book-india</t>
        </is>
      </c>
      <c r="G20" s="36" t="inlineStr">
        <is>
          <t>Salon/tutor interviews; WA reminder prototype</t>
        </is>
      </c>
    </row>
    <row r="21" ht="30" customHeight="1">
      <c r="A21" s="34" t="inlineStr">
        <is>
          <t>P32</t>
        </is>
      </c>
      <c r="B21" s="34" t="inlineStr">
        <is>
          <t>pr-triage</t>
        </is>
      </c>
      <c r="C21" s="35" t="n">
        <v>18</v>
      </c>
      <c r="D21" s="34" t="inlineStr">
        <is>
          <t>Dev Productivity / Quality</t>
        </is>
      </c>
      <c r="E21" s="34" t="inlineStr">
        <is>
          <t>Watch</t>
        </is>
      </c>
      <c r="F21" s="34" t="inlineStr">
        <is>
          <t>pr-triage</t>
        </is>
      </c>
      <c r="G21" s="36" t="inlineStr">
        <is>
          <t>Watch quarterly; build only if P29/P30 traction frees capacity</t>
        </is>
      </c>
    </row>
    <row r="22" ht="30" customHeight="1">
      <c r="A22" s="34" t="inlineStr">
        <is>
          <t>P09</t>
        </is>
      </c>
      <c r="B22" s="34" t="inlineStr">
        <is>
          <t>auth-anomaly-radar</t>
        </is>
      </c>
      <c r="C22" s="35" t="n">
        <v>17</v>
      </c>
      <c r="D22" s="34" t="inlineStr">
        <is>
          <t>Security / Identity / Fraud</t>
        </is>
      </c>
      <c r="E22" s="34" t="inlineStr">
        <is>
          <t>Research</t>
        </is>
      </c>
      <c r="F22" s="34" t="inlineStr">
        <is>
          <t>auth-anomaly-radar</t>
        </is>
      </c>
      <c r="G22" s="36" t="inlineStr">
        <is>
          <t>LATER; needs trust + data</t>
        </is>
      </c>
    </row>
    <row r="23" ht="30" customHeight="1">
      <c r="A23" s="34" t="inlineStr">
        <is>
          <t>P11</t>
        </is>
      </c>
      <c r="B23" s="34" t="inlineStr">
        <is>
          <t>cloud-waste-radar</t>
        </is>
      </c>
      <c r="C23" s="35" t="n">
        <v>17</v>
      </c>
      <c r="D23" s="34" t="inlineStr">
        <is>
          <t>Cloud FinOps</t>
        </is>
      </c>
      <c r="E23" s="34" t="inlineStr">
        <is>
          <t>Research</t>
        </is>
      </c>
      <c r="F23" s="34" t="inlineStr">
        <is>
          <t>cloud-waste-radar</t>
        </is>
      </c>
      <c r="G23" s="36" t="inlineStr">
        <is>
          <t>LATER unless clear niche</t>
        </is>
      </c>
    </row>
    <row r="24" ht="30" customHeight="1">
      <c r="A24" s="34" t="inlineStr">
        <is>
          <t>P13</t>
        </is>
      </c>
      <c r="B24" s="34" t="inlineStr">
        <is>
          <t>sbom-lite</t>
        </is>
      </c>
      <c r="C24" s="35" t="n">
        <v>17</v>
      </c>
      <c r="D24" s="34" t="inlineStr">
        <is>
          <t>Security / Supply Chain</t>
        </is>
      </c>
      <c r="E24" s="34" t="inlineStr">
        <is>
          <t>Research</t>
        </is>
      </c>
      <c r="F24" s="34" t="inlineStr">
        <is>
          <t>sbom-lite</t>
        </is>
      </c>
      <c r="G24" s="36" t="inlineStr">
        <is>
          <t>LATER OSS brand play</t>
        </is>
      </c>
    </row>
    <row r="25" ht="30" customHeight="1">
      <c r="A25" s="34" t="inlineStr">
        <is>
          <t>P07</t>
        </is>
      </c>
      <c r="B25" s="34" t="inlineStr">
        <is>
          <t>shadow-AI</t>
        </is>
      </c>
      <c r="C25" s="35" t="n">
        <v>16</v>
      </c>
      <c r="D25" s="34" t="inlineStr">
        <is>
          <t>AI Tooling / Security / GRC</t>
        </is>
      </c>
      <c r="E25" s="34" t="inlineStr">
        <is>
          <t>Research</t>
        </is>
      </c>
      <c r="F25" s="34" t="inlineStr">
        <is>
          <t>shadow-ai</t>
        </is>
      </c>
      <c r="G25" s="36" t="inlineStr">
        <is>
          <t>PARK for solo; partner or later</t>
        </is>
      </c>
    </row>
    <row r="26" ht="30" customHeight="1">
      <c r="A26" s="34" t="inlineStr">
        <is>
          <t>P16</t>
        </is>
      </c>
      <c r="B26" s="34" t="inlineStr">
        <is>
          <t>gst-ops-copilot</t>
        </is>
      </c>
      <c r="C26" s="35" t="n">
        <v>16</v>
      </c>
      <c r="D26" s="34" t="inlineStr">
        <is>
          <t>India SMB / Fintech</t>
        </is>
      </c>
      <c r="E26" s="34" t="inlineStr">
        <is>
          <t>Watch</t>
        </is>
      </c>
      <c r="F26" s="34" t="inlineStr">
        <is>
          <t>gst-ops-copilot</t>
        </is>
      </c>
      <c r="G26" s="36" t="inlineStr">
        <is>
          <t>LATER/domain partner</t>
        </is>
      </c>
    </row>
    <row r="27" ht="30" customHeight="1">
      <c r="A27" s="34" t="inlineStr">
        <is>
          <t>P18</t>
        </is>
      </c>
      <c r="B27" s="34" t="inlineStr">
        <is>
          <t>clinic-admin-lite</t>
        </is>
      </c>
      <c r="C27" s="35" t="n">
        <v>16</v>
      </c>
      <c r="D27" s="34" t="inlineStr">
        <is>
          <t>India SMB / Health Ops</t>
        </is>
      </c>
      <c r="E27" s="34" t="inlineStr">
        <is>
          <t>Research</t>
        </is>
      </c>
      <c r="F27" s="34" t="inlineStr">
        <is>
          <t>clinic-admin-lite</t>
        </is>
      </c>
      <c r="G27" s="36" t="inlineStr">
        <is>
          <t>LATER after appt-book learns domain</t>
        </is>
      </c>
    </row>
    <row r="28" ht="30" customHeight="1">
      <c r="A28" s="34" t="inlineStr">
        <is>
          <t>P23</t>
        </is>
      </c>
      <c r="B28" s="34" t="inlineStr">
        <is>
          <t>personal-crm</t>
        </is>
      </c>
      <c r="C28" s="35" t="n">
        <v>16</v>
      </c>
      <c r="D28" s="34" t="inlineStr">
        <is>
          <t>Personal CRM</t>
        </is>
      </c>
      <c r="E28" s="34" t="inlineStr">
        <is>
          <t>Research</t>
        </is>
      </c>
      <c r="F28" s="34" t="inlineStr">
        <is>
          <t>personal-crm</t>
        </is>
      </c>
      <c r="G28" s="36" t="inlineStr">
        <is>
          <t>Side project LATER</t>
        </is>
      </c>
    </row>
    <row r="29" ht="30" customHeight="1">
      <c r="A29" s="34" t="inlineStr">
        <is>
          <t>P28</t>
        </is>
      </c>
      <c r="B29" s="34" t="inlineStr">
        <is>
          <t>api-contract-sentinel</t>
        </is>
      </c>
      <c r="C29" s="35" t="n">
        <v>16</v>
      </c>
      <c r="D29" s="34" t="inlineStr">
        <is>
          <t>Dev Productivity / Quality</t>
        </is>
      </c>
      <c r="E29" s="34" t="inlineStr">
        <is>
          <t>Watch</t>
        </is>
      </c>
      <c r="F29" s="34" t="inlineStr">
        <is>
          <t>api-contract-sentinel</t>
        </is>
      </c>
      <c r="G29" s="36" t="inlineStr">
        <is>
          <t>LATER OSS brand</t>
        </is>
      </c>
    </row>
    <row r="30" ht="30" customHeight="1">
      <c r="A30" s="34" t="inlineStr">
        <is>
          <t>P31</t>
        </is>
      </c>
      <c r="B30" s="34" t="inlineStr">
        <is>
          <t>indic-voice-flow</t>
        </is>
      </c>
      <c r="C30" s="35" t="n">
        <v>16</v>
      </c>
      <c r="D30" s="34" t="inlineStr">
        <is>
          <t>Consumer AI / Voice</t>
        </is>
      </c>
      <c r="E30" s="34" t="inlineStr">
        <is>
          <t>Research</t>
        </is>
      </c>
      <c r="F30" s="34" t="inlineStr">
        <is>
          <t>indic-voice-flow</t>
        </is>
      </c>
      <c r="G30" s="36" t="inlineStr">
        <is>
          <t>Validate Hinglish ASR quality + ₹ WTP; needs cofounder/dedicated cycle</t>
        </is>
      </c>
    </row>
    <row r="33">
      <c r="A33" s="3" t="inlineStr">
        <is>
          <t>LATER — Backlog after NOW/NEXT capacity</t>
        </is>
      </c>
      <c r="B33" s="4" t="n"/>
      <c r="C33" s="4" t="n"/>
      <c r="D33" s="4" t="n"/>
      <c r="E33" s="4" t="n"/>
      <c r="F33" s="4" t="n"/>
      <c r="G33" s="4" t="n"/>
    </row>
    <row r="34">
      <c r="A34" s="8" t="inlineStr">
        <is>
          <t>ID</t>
        </is>
      </c>
      <c r="B34" s="8" t="inlineStr">
        <is>
          <t>Name</t>
        </is>
      </c>
      <c r="C34" s="8" t="inlineStr">
        <is>
          <t>TOTAL</t>
        </is>
      </c>
      <c r="D34" s="8" t="inlineStr">
        <is>
          <t>Category</t>
        </is>
      </c>
      <c r="E34" s="8" t="inlineStr">
        <is>
          <t>Stage</t>
        </is>
      </c>
      <c r="F34" s="8" t="inlineStr">
        <is>
          <t>Repo</t>
        </is>
      </c>
      <c r="G34" s="8" t="inlineStr">
        <is>
          <t>Primary action</t>
        </is>
      </c>
    </row>
    <row r="35" ht="30" customHeight="1">
      <c r="A35" s="37" t="inlineStr">
        <is>
          <t>P10</t>
        </is>
      </c>
      <c r="B35" s="37" t="inlineStr">
        <is>
          <t>fraud-signal-kit</t>
        </is>
      </c>
      <c r="C35" s="38" t="n">
        <v>15</v>
      </c>
      <c r="D35" s="37" t="inlineStr">
        <is>
          <t>Security / Identity / Fraud</t>
        </is>
      </c>
      <c r="E35" s="37" t="inlineStr">
        <is>
          <t>Watch</t>
        </is>
      </c>
      <c r="F35" s="37" t="inlineStr">
        <is>
          <t>fraud-signal-kit</t>
        </is>
      </c>
      <c r="G35" s="39" t="inlineStr">
        <is>
          <t>PARK solo without partners</t>
        </is>
      </c>
    </row>
    <row r="36" ht="30" customHeight="1">
      <c r="A36" s="37" t="inlineStr">
        <is>
          <t>P12</t>
        </is>
      </c>
      <c r="B36" s="37" t="inlineStr">
        <is>
          <t>dev-onboard-os</t>
        </is>
      </c>
      <c r="C36" s="38" t="n">
        <v>15</v>
      </c>
      <c r="D36" s="37" t="inlineStr">
        <is>
          <t>Dev Productivity</t>
        </is>
      </c>
      <c r="E36" s="37" t="inlineStr">
        <is>
          <t>Watch</t>
        </is>
      </c>
      <c r="F36" s="37" t="inlineStr">
        <is>
          <t>dev-onboard-os</t>
        </is>
      </c>
      <c r="G36" s="39" t="inlineStr">
        <is>
          <t>Tie to setup-doctor for AI-era wedge later</t>
        </is>
      </c>
    </row>
    <row r="37" ht="30" customHeight="1">
      <c r="A37" s="37" t="inlineStr">
        <is>
          <t>P14</t>
        </is>
      </c>
      <c r="B37" s="37" t="inlineStr">
        <is>
          <t>grc-evidence-autopilot</t>
        </is>
      </c>
      <c r="C37" s="38" t="n">
        <v>15</v>
      </c>
      <c r="D37" s="37" t="inlineStr">
        <is>
          <t>Compliance / GRC</t>
        </is>
      </c>
      <c r="E37" s="37" t="inlineStr">
        <is>
          <t>Watch</t>
        </is>
      </c>
      <c r="F37" s="37" t="inlineStr">
        <is>
          <t>grc-evidence-autopilot</t>
        </is>
      </c>
      <c r="G37" s="39" t="inlineStr">
        <is>
          <t>PARK unless India DPDP-specific wedge</t>
        </is>
      </c>
    </row>
    <row r="38" ht="30" customHeight="1">
      <c r="A38" s="37" t="inlineStr">
        <is>
          <t>P19</t>
        </is>
      </c>
      <c r="B38" s="37" t="inlineStr">
        <is>
          <t>learn-loop</t>
        </is>
      </c>
      <c r="C38" s="38" t="n">
        <v>15</v>
      </c>
      <c r="D38" s="37" t="inlineStr">
        <is>
          <t>Education</t>
        </is>
      </c>
      <c r="E38" s="37" t="inlineStr">
        <is>
          <t>Watch</t>
        </is>
      </c>
      <c r="F38" s="37" t="inlineStr">
        <is>
          <t>learn-loop</t>
        </is>
      </c>
      <c r="G38" s="39" t="inlineStr">
        <is>
          <t>PARK unless passion domain</t>
        </is>
      </c>
    </row>
    <row r="39" ht="30" customHeight="1">
      <c r="A39" s="37" t="inlineStr">
        <is>
          <t>P21</t>
        </is>
      </c>
      <c r="B39" s="37" t="inlineStr">
        <is>
          <t>data-quality-guard</t>
        </is>
      </c>
      <c r="C39" s="38" t="n">
        <v>15</v>
      </c>
      <c r="D39" s="37" t="inlineStr">
        <is>
          <t>Data Quality</t>
        </is>
      </c>
      <c r="E39" s="37" t="inlineStr">
        <is>
          <t>Watch</t>
        </is>
      </c>
      <c r="F39" s="37" t="inlineStr">
        <is>
          <t>data-quality-guard</t>
        </is>
      </c>
      <c r="G39" s="39" t="inlineStr">
        <is>
          <t>PARK unless unique AI-data angle</t>
        </is>
      </c>
    </row>
    <row r="40" ht="30" customHeight="1">
      <c r="A40" s="37" t="inlineStr">
        <is>
          <t>P24</t>
        </is>
      </c>
      <c r="B40" s="37" t="inlineStr">
        <is>
          <t>creator-ops</t>
        </is>
      </c>
      <c r="C40" s="38" t="n">
        <v>15</v>
      </c>
      <c r="D40" s="37" t="inlineStr">
        <is>
          <t>Creator Ops</t>
        </is>
      </c>
      <c r="E40" s="37" t="inlineStr">
        <is>
          <t>Watch</t>
        </is>
      </c>
      <c r="F40" s="37" t="inlineStr">
        <is>
          <t>creator-ops</t>
        </is>
      </c>
      <c r="G40" s="39" t="inlineStr">
        <is>
          <t>LATER</t>
        </is>
      </c>
    </row>
    <row r="41" ht="30" customHeight="1">
      <c r="A41" s="37" t="inlineStr">
        <is>
          <t>P27</t>
        </is>
      </c>
      <c r="B41" s="37" t="inlineStr">
        <is>
          <t>focus-forge</t>
        </is>
      </c>
      <c r="C41" s="38" t="n">
        <v>15</v>
      </c>
      <c r="D41" s="37" t="inlineStr">
        <is>
          <t>Focus / Productivity Apps</t>
        </is>
      </c>
      <c r="E41" s="37" t="inlineStr">
        <is>
          <t>Watch</t>
        </is>
      </c>
      <c r="F41" s="37" t="inlineStr">
        <is>
          <t>focus-forge</t>
        </is>
      </c>
      <c r="G41" s="39" t="inlineStr">
        <is>
          <t>PARK</t>
        </is>
      </c>
    </row>
    <row r="42" ht="30" customHeight="1">
      <c r="A42" s="37" t="inlineStr">
        <is>
          <t>P20</t>
        </is>
      </c>
      <c r="B42" s="37" t="inlineStr">
        <is>
          <t>cyber-smb-shield</t>
        </is>
      </c>
      <c r="C42" s="38" t="n">
        <v>13</v>
      </c>
      <c r="D42" s="37" t="inlineStr">
        <is>
          <t>Cyber / SMB</t>
        </is>
      </c>
      <c r="E42" s="37" t="inlineStr">
        <is>
          <t>Watch</t>
        </is>
      </c>
      <c r="F42" s="37" t="inlineStr">
        <is>
          <t>cyber-smb-shield</t>
        </is>
      </c>
      <c r="G42" s="39" t="inlineStr">
        <is>
          <t>PARK without security partner</t>
        </is>
      </c>
    </row>
    <row r="43" ht="30" customHeight="1">
      <c r="A43" s="37" t="inlineStr">
        <is>
          <t>P22</t>
        </is>
      </c>
      <c r="B43" s="37" t="inlineStr">
        <is>
          <t>care-companion</t>
        </is>
      </c>
      <c r="C43" s="38" t="n">
        <v>13</v>
      </c>
      <c r="D43" s="37" t="inlineStr">
        <is>
          <t>Consumer Care</t>
        </is>
      </c>
      <c r="E43" s="37" t="inlineStr">
        <is>
          <t>Watch</t>
        </is>
      </c>
      <c r="F43" s="37" t="inlineStr">
        <is>
          <t>care-companion</t>
        </is>
      </c>
      <c r="G43" s="39" t="inlineStr">
        <is>
          <t>PARK consumer</t>
        </is>
      </c>
    </row>
    <row r="44" ht="30" customHeight="1">
      <c r="A44" s="37" t="inlineStr">
        <is>
          <t>P25</t>
        </is>
      </c>
      <c r="B44" s="37" t="inlineStr">
        <is>
          <t>climate-ops-meter</t>
        </is>
      </c>
      <c r="C44" s="38" t="n">
        <v>13</v>
      </c>
      <c r="D44" s="37" t="inlineStr">
        <is>
          <t>Climate / ESG</t>
        </is>
      </c>
      <c r="E44" s="37" t="inlineStr">
        <is>
          <t>Watch</t>
        </is>
      </c>
      <c r="F44" s="37" t="inlineStr">
        <is>
          <t>climate-ops-meter</t>
        </is>
      </c>
      <c r="G44" s="39" t="inlineStr">
        <is>
          <t>PARK without domain partner</t>
        </is>
      </c>
    </row>
    <row r="45" ht="30" customHeight="1">
      <c r="A45" s="37" t="inlineStr">
        <is>
          <t>P26</t>
        </is>
      </c>
      <c r="B45" s="37" t="inlineStr">
        <is>
          <t>supply-chain-visibility-lite</t>
        </is>
      </c>
      <c r="C45" s="38" t="n">
        <v>12</v>
      </c>
      <c r="D45" s="37" t="inlineStr">
        <is>
          <t>Supply Chain</t>
        </is>
      </c>
      <c r="E45" s="37" t="inlineStr">
        <is>
          <t>Watch</t>
        </is>
      </c>
      <c r="F45" s="37" t="inlineStr">
        <is>
          <t>sc-visibility-lite</t>
        </is>
      </c>
      <c r="G45" s="39" t="inlineStr">
        <is>
          <t>PARK</t>
        </is>
      </c>
    </row>
    <row r="48">
      <c r="A48" s="3" t="inlineStr">
        <is>
          <t>PARK — Watchlist — revisit quarterly</t>
        </is>
      </c>
      <c r="B48" s="4" t="n"/>
      <c r="C48" s="4" t="n"/>
      <c r="D48" s="4" t="n"/>
      <c r="E48" s="4" t="n"/>
      <c r="F48" s="4" t="n"/>
      <c r="G48" s="4" t="n"/>
    </row>
    <row r="49">
      <c r="A49" s="8" t="inlineStr">
        <is>
          <t>ID</t>
        </is>
      </c>
      <c r="B49" s="8" t="inlineStr">
        <is>
          <t>Name</t>
        </is>
      </c>
      <c r="C49" s="8" t="inlineStr">
        <is>
          <t>TOTAL</t>
        </is>
      </c>
      <c r="D49" s="8" t="inlineStr">
        <is>
          <t>Category</t>
        </is>
      </c>
      <c r="E49" s="8" t="inlineStr">
        <is>
          <t>Stage</t>
        </is>
      </c>
      <c r="F49" s="8" t="inlineStr">
        <is>
          <t>Repo</t>
        </is>
      </c>
      <c r="G49" s="8" t="inlineStr">
        <is>
          <t>Primary action</t>
        </is>
      </c>
    </row>
    <row r="50">
      <c r="A50" s="40" t="inlineStr">
        <is>
          <t>(none)</t>
        </is>
      </c>
    </row>
  </sheetData>
  <mergeCells count="5">
    <mergeCell ref="A14:G14"/>
    <mergeCell ref="A1:G1"/>
    <mergeCell ref="A4:G4"/>
    <mergeCell ref="A48:G48"/>
    <mergeCell ref="A33:G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28" customWidth="1" min="1" max="1"/>
    <col width="42" customWidth="1" min="2" max="2"/>
    <col width="42" customWidth="1" min="3" max="3"/>
    <col width="18" customWidth="1" min="4" max="4"/>
    <col width="42" customWidth="1" min="5" max="5"/>
    <col width="14" customWidth="1" min="6" max="6"/>
  </cols>
  <sheetData>
    <row r="1">
      <c r="A1" s="1" t="inlineStr">
        <is>
          <t>Market Context (Directional)</t>
        </is>
      </c>
    </row>
    <row r="2">
      <c r="A2" s="7" t="inlineStr">
        <is>
          <t>Macro notes for portfolio strategy. Figures are directional mid-decade class estimates for brainstorming—not audited financial advice. Validate with primary sources before investor materials.</t>
        </is>
      </c>
    </row>
    <row r="4">
      <c r="A4" s="8" t="inlineStr">
        <is>
          <t>Theme</t>
        </is>
      </c>
      <c r="B4" s="8" t="inlineStr">
        <is>
          <t>Directional figure</t>
        </is>
      </c>
      <c r="C4" s="8" t="inlineStr">
        <is>
          <t>Implication for portfolio</t>
        </is>
      </c>
      <c r="D4" s="8" t="inlineStr">
        <is>
          <t>Related IDs</t>
        </is>
      </c>
      <c r="E4" s="8" t="inlineStr">
        <is>
          <t>Source / note class</t>
        </is>
      </c>
      <c r="F4" s="8" t="inlineStr">
        <is>
          <t>Confidence</t>
        </is>
      </c>
    </row>
    <row r="5" ht="48" customHeight="1">
      <c r="A5" s="10" t="inlineStr">
        <is>
          <t>AI agents / agent platforms</t>
        </is>
      </c>
      <c r="B5" s="10" t="inlineStr">
        <is>
          <t>~$7–11B market mid-decade class; high CAGR ~45% class in bullish analyst ranges</t>
        </is>
      </c>
      <c r="C5" s="10" t="inlineStr">
        <is>
          <t>Prioritize AI-native tooling with PLG (CLI/npx) while category is forming</t>
        </is>
      </c>
      <c r="D5" s="10" t="inlineStr">
        <is>
          <t>P01–P08</t>
        </is>
      </c>
      <c r="E5" s="10" t="inlineStr">
        <is>
          <t>Industry analyst ranges (e.g. agent/AI software market notes 2024–26); treat as order-of-magnitude</t>
        </is>
      </c>
      <c r="F5" s="10" t="inlineStr">
        <is>
          <t>Medium</t>
        </is>
      </c>
    </row>
    <row r="6" ht="48" customHeight="1">
      <c r="A6" s="15" t="inlineStr">
        <is>
          <t>India digital economy / DX</t>
        </is>
      </c>
      <c r="B6" s="15" t="inlineStr">
        <is>
          <t>India DX ~$124–144B class for 2025–26 windows in public industry estimates; SME high CAGR</t>
        </is>
      </c>
      <c r="C6" s="15" t="inlineStr">
        <is>
          <t>India SMB WhatsApp/GST/appointments/clinic track is strategic, not side quest</t>
        </is>
      </c>
      <c r="D6" s="15" t="inlineStr">
        <is>
          <t>P15–P18, P16</t>
        </is>
      </c>
      <c r="E6" s="15" t="inlineStr">
        <is>
          <t>Industry/NASSCOM-class digital economy commentary; range compressed for planning</t>
        </is>
      </c>
      <c r="F6" s="15" t="inlineStr">
        <is>
          <t>Medium</t>
        </is>
      </c>
    </row>
    <row r="7" ht="48" customHeight="1">
      <c r="A7" s="10" t="inlineStr">
        <is>
          <t>Global SaaS</t>
        </is>
      </c>
      <c r="B7" s="10" t="inlineStr">
        <is>
          <t>SaaS still hundreds of $B TAM class; SME adoption continues despite efficiency era</t>
        </is>
      </c>
      <c r="C7" s="10" t="inlineStr">
        <is>
          <t>Seat/MRR models remain valid; need sharp ICP and low CAC</t>
        </is>
      </c>
      <c r="D7" s="10" t="inlineStr">
        <is>
          <t>P05, P11, P14, P21</t>
        </is>
      </c>
      <c r="E7" s="10" t="inlineStr">
        <is>
          <t>Public SaaS market sizing consensus (broad)</t>
        </is>
      </c>
      <c r="F7" s="10" t="inlineStr">
        <is>
          <t>Medium</t>
        </is>
      </c>
    </row>
    <row r="8" ht="48" customHeight="1">
      <c r="A8" s="15" t="inlineStr">
        <is>
          <t>Cloud waste / FinOps</t>
        </is>
      </c>
      <c r="B8" s="15" t="inlineStr">
        <is>
          <t>~30% cloud spend waste class repeatedly cited in FinOps/Flexera-style surveys</t>
        </is>
      </c>
      <c r="C8" s="15" t="inlineStr">
        <is>
          <t>Cloud waste radar viable but crowded—need niche or automation wedge</t>
        </is>
      </c>
      <c r="D8" s="15" t="inlineStr">
        <is>
          <t>P11, P05</t>
        </is>
      </c>
      <c r="E8" s="15" t="inlineStr">
        <is>
          <t>Flexera State of the Cloud-class surveys (historical ~30% waste narrative)</t>
        </is>
      </c>
      <c r="F8" s="15" t="inlineStr">
        <is>
          <t>Medium</t>
        </is>
      </c>
    </row>
    <row r="9" ht="48" customHeight="1">
      <c r="A9" s="10" t="inlineStr">
        <is>
          <t>AI cybersecurity / managed services</t>
        </is>
      </c>
      <c r="B9" s="10" t="inlineStr">
        <is>
          <t>Large and growing; AI expands both attack surface and defense tooling</t>
        </is>
      </c>
      <c r="C9" s="10" t="inlineStr">
        <is>
          <t>Shadow-AI, secret-guard, cyber-SMB are real but sales/liability heavy</t>
        </is>
      </c>
      <c r="D9" s="10" t="inlineStr">
        <is>
          <t>P04, P07, P20, P09</t>
        </is>
      </c>
      <c r="E9" s="10" t="inlineStr">
        <is>
          <t>Cybersecurity market reports (AI security subsegment growing faster than overall)</t>
        </is>
      </c>
      <c r="F9" s="10" t="inlineStr">
        <is>
          <t>Medium</t>
        </is>
      </c>
    </row>
    <row r="10" ht="48" customHeight="1">
      <c r="A10" s="15" t="inlineStr">
        <is>
          <t>MCP &amp; multi-agent coding</t>
        </is>
      </c>
      <c r="B10" s="15" t="inlineStr">
        <is>
          <t>Rapid ecosystem growth; standard still evolving (2024–2026)</t>
        </is>
      </c>
      <c r="C10" s="15" t="inlineStr">
        <is>
          <t>instruct-sync / mcp-sync / setup-doctor ride open standards + multi-vendor pain</t>
        </is>
      </c>
      <c r="D10" s="15" t="inlineStr">
        <is>
          <t>P01–P04, P06</t>
        </is>
      </c>
      <c r="E10" s="15" t="inlineStr">
        <is>
          <t>Primary: MCP adoption in Cursor/VS Code/Claude ecosystems; GitHub discussions</t>
        </is>
      </c>
      <c r="F10" s="15" t="inlineStr">
        <is>
          <t>High (qualitative)</t>
        </is>
      </c>
    </row>
    <row r="11" ht="48" customHeight="1">
      <c r="A11" s="10" t="inlineStr">
        <is>
          <t>Open source distribution</t>
        </is>
      </c>
      <c r="B11" s="10" t="inlineStr">
        <is>
          <t>npx/npm cold-start remains elite PLG for developer tools</t>
        </is>
      </c>
      <c r="C11" s="10" t="inlineStr">
        <is>
          <t>Bias portfolio toward OSS CLI NOW products with optional cloud later</t>
        </is>
      </c>
      <c r="D11" s="10" t="inlineStr">
        <is>
          <t>P01, P02, P03, P04, P08, P13, P28</t>
        </is>
      </c>
      <c r="E11" s="10" t="inlineStr">
        <is>
          <t>Empirical: successful DX CLIs (eslint, prettier, supabase CLI patterns)</t>
        </is>
      </c>
      <c r="F11" s="10" t="inlineStr">
        <is>
          <t>High</t>
        </is>
      </c>
    </row>
    <row r="12" ht="48" customHeight="1">
      <c r="A12" s="15" t="inlineStr">
        <is>
          <t>India WhatsApp commerce / ops</t>
        </is>
      </c>
      <c r="B12" s="15" t="inlineStr">
        <is>
          <t>WhatsApp is default business OS for huge SMB base; Cloud API monetizable</t>
        </is>
      </c>
      <c r="C12" s="15" t="inlineStr">
        <is>
          <t>wa-ops-desk + appt-book are GTM-native for Bharat SMB</t>
        </is>
      </c>
      <c r="D12" s="15" t="inlineStr">
        <is>
          <t>P15, P17, P18</t>
        </is>
      </c>
      <c r="E12" s="15" t="inlineStr">
        <is>
          <t>Meta WhatsApp Business / India SMB digitization narratives</t>
        </is>
      </c>
      <c r="F12" s="15" t="inlineStr">
        <is>
          <t>Medium-High</t>
        </is>
      </c>
    </row>
    <row r="13" ht="48" customHeight="1">
      <c r="A13" s="10" t="inlineStr">
        <is>
          <t>Compliance / GRC automation</t>
        </is>
      </c>
      <c r="B13" s="10" t="inlineStr">
        <is>
          <t>SOC2/ISO tooling multi-player market; India DPDP creates local angle</t>
        </is>
      </c>
      <c r="C13" s="10" t="inlineStr">
        <is>
          <t>Avoid pure Vanta clone; consider DPDP or AI-evidence niche only</t>
        </is>
      </c>
      <c r="D13" s="10" t="inlineStr">
        <is>
          <t>P14, P07</t>
        </is>
      </c>
      <c r="E13" s="10" t="inlineStr">
        <is>
          <t>Category defined by Vanta/Drata/Sprinto success</t>
        </is>
      </c>
      <c r="F13" s="10" t="inlineStr">
        <is>
          <t>High (category), Low (our wedge)</t>
        </is>
      </c>
    </row>
    <row r="14" ht="48" customHeight="1">
      <c r="A14" s="15" t="inlineStr">
        <is>
          <t>Creator &amp; consumer apps</t>
        </is>
      </c>
      <c r="B14" s="15" t="inlineStr">
        <is>
          <t>Large attention markets; brutal retention and CAC</t>
        </is>
      </c>
      <c r="C14" s="15" t="inlineStr">
        <is>
          <t>Keep focus-forge, care-companion, creator-ops as PARK unless passion leverage</t>
        </is>
      </c>
      <c r="D14" s="15" t="inlineStr">
        <is>
          <t>P22–P24, P27</t>
        </is>
      </c>
      <c r="E14" s="15" t="inlineStr">
        <is>
          <t>Consumer app economics (general)</t>
        </is>
      </c>
      <c r="F14" s="15" t="inlineStr">
        <is>
          <t>High</t>
        </is>
      </c>
    </row>
    <row r="15" ht="48" customHeight="1">
      <c r="A15" s="10" t="inlineStr">
        <is>
          <t>Agent supply-chain security</t>
        </is>
      </c>
      <c r="B15" s="10" t="inlineStr">
        <is>
          <t>36.8% of ~4k marketplace skills flawed, 1,467 malicious payloads (Snyk ToxicSkills); 71% of MCP servers graded F; 29% of orgs prepared</t>
        </is>
      </c>
      <c r="C15" s="10" t="inlineStr">
        <is>
          <t>agent-skill-scan (P29) is the highest-conviction new NOW; absorbs secret-guard scope</t>
        </is>
      </c>
      <c r="D15" s="10" t="inlineStr">
        <is>
          <t>P29, P04, P02</t>
        </is>
      </c>
      <c r="E15" s="10" t="inlineStr">
        <is>
          <t>Snyk ToxicSkills study Feb 2026; MCP server audit 2026; incident reporting</t>
        </is>
      </c>
      <c r="F15" s="10" t="inlineStr">
        <is>
          <t>High</t>
        </is>
      </c>
    </row>
    <row r="16" ht="48" customHeight="1">
      <c r="A16" s="15" t="inlineStr">
        <is>
          <t>AI token cost crisis</t>
        </is>
      </c>
      <c r="B16" s="15" t="inlineStr">
        <is>
          <t>Teams 3x over annual token budgets by April 2026 (FinOps Foundation); Uber blew 2026 AI coding budget by April; 85% of GenAI deployments unobserved</t>
        </is>
      </c>
      <c r="C16" s="15" t="inlineStr">
        <is>
          <t>Guardrails/enforcement wedge (P30) beats another dashboard; per-seat prosumer pricing viable</t>
        </is>
      </c>
      <c r="D16" s="15" t="inlineStr">
        <is>
          <t>P30, P05</t>
        </is>
      </c>
      <c r="E16" s="15" t="inlineStr">
        <is>
          <t>TechCrunch Jun 2026; FinOps Foundation commentary; observability market reports</t>
        </is>
      </c>
      <c r="F16" s="15" t="inlineStr">
        <is>
          <t>High</t>
        </is>
      </c>
    </row>
    <row r="17" ht="48" customHeight="1">
      <c r="A17" s="10" t="inlineStr">
        <is>
          <t>Paid consumer voice AI</t>
        </is>
      </c>
      <c r="B17" s="10" t="inlineStr">
        <is>
          <t>Wispr Flow ~$10M ARR, $700M valuation, $315M raised — English-first</t>
        </is>
      </c>
      <c r="C17" s="10" t="inlineStr">
        <is>
          <t>Hinglish/Indic dictation (P31) is the underserved adjacent; don't fight Wispr in English</t>
        </is>
      </c>
      <c r="D17" s="10" t="inlineStr">
        <is>
          <t>P31</t>
        </is>
      </c>
      <c r="E17" s="10" t="inlineStr">
        <is>
          <t>Public funding/revenue reporting 2025–26</t>
        </is>
      </c>
      <c r="F17" s="10" t="inlineStr">
        <is>
          <t>Medium-High</t>
        </is>
      </c>
    </row>
    <row r="19">
      <c r="A19" s="17" t="inlineStr">
        <is>
          <t>Disclaimer</t>
        </is>
      </c>
    </row>
    <row r="20">
      <c r="A20" s="41" t="inlineStr">
        <is>
          <t>Numbers are planning ranges for brainstorming alignment, not forecasts. Re-source from Gartner/IDC/NASSCOM/Flexera/primary filings before external use. Last portfolio refresh: 2026-07-11.</t>
        </is>
      </c>
    </row>
    <row r="21"/>
  </sheetData>
  <mergeCells count="3">
    <mergeCell ref="A2:F2"/>
    <mergeCell ref="A20:F21"/>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0"/>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0" customWidth="1" min="3" max="3"/>
    <col width="56" customWidth="1" min="4" max="4"/>
    <col width="28" customWidth="1" min="5" max="5"/>
    <col width="24" customWidth="1" min="6" max="6"/>
    <col width="32" customWidth="1" min="7" max="7"/>
  </cols>
  <sheetData>
    <row r="1">
      <c r="A1" s="1" t="inlineStr">
        <is>
          <t>Research Log</t>
        </is>
      </c>
    </row>
    <row r="2">
      <c r="A2" s="7" t="inlineStr">
        <is>
          <t>Append-only style log. Yellow/blue = editable fields for new entries.</t>
        </is>
      </c>
    </row>
    <row r="4">
      <c r="A4" s="8" t="inlineStr">
        <is>
          <t>Date</t>
        </is>
      </c>
      <c r="B4" s="8" t="inlineStr">
        <is>
          <t>Opportunity ID</t>
        </is>
      </c>
      <c r="C4" s="8" t="inlineStr">
        <is>
          <t>Type</t>
        </is>
      </c>
      <c r="D4" s="8" t="inlineStr">
        <is>
          <t>Summary</t>
        </is>
      </c>
      <c r="E4" s="8" t="inlineStr">
        <is>
          <t>Source</t>
        </is>
      </c>
      <c r="F4" s="8" t="inlineStr">
        <is>
          <t>Impact on scores?</t>
        </is>
      </c>
      <c r="G4" s="8" t="inlineStr">
        <is>
          <t>Follow-up</t>
        </is>
      </c>
    </row>
    <row r="5" ht="36" customHeight="1">
      <c r="A5" s="28" t="inlineStr">
        <is>
          <t>2026-07-09</t>
        </is>
      </c>
      <c r="B5" s="28" t="inlineStr">
        <is>
          <t>P01</t>
        </is>
      </c>
      <c r="C5" s="28" t="inlineStr">
        <is>
          <t>Product</t>
        </is>
      </c>
      <c r="D5" s="42" t="inlineStr">
        <is>
          <t>instruct-sync public beta on npm as ai-instruct-sync; multi-agent rules sync working</t>
        </is>
      </c>
      <c r="E5" s="28" t="inlineStr">
        <is>
          <t>Local repo / npm beta</t>
        </is>
      </c>
      <c r="F5" s="28" t="inlineStr">
        <is>
          <t>Confirmed high ship+dist scores</t>
        </is>
      </c>
      <c r="G5" s="42" t="inlineStr">
        <is>
          <t>Show HN + retention metrics</t>
        </is>
      </c>
    </row>
    <row r="6" ht="36" customHeight="1">
      <c r="A6" s="28" t="inlineStr">
        <is>
          <t>2026-07-09</t>
        </is>
      </c>
      <c r="B6" s="28" t="inlineStr">
        <is>
          <t>P02</t>
        </is>
      </c>
      <c r="C6" s="28" t="inlineStr">
        <is>
          <t>Product</t>
        </is>
      </c>
      <c r="D6" s="42" t="inlineStr">
        <is>
          <t>ai-setup-doctor scaffolded build-green with fixtures for MCP/secrets/drift</t>
        </is>
      </c>
      <c r="E6" s="28" t="inlineStr">
        <is>
          <t>Local repo ai-setup-doctor/</t>
        </is>
      </c>
      <c r="F6" s="28" t="inlineStr">
        <is>
          <t>Supports NOW priority</t>
        </is>
      </c>
      <c r="G6" s="42" t="inlineStr">
        <is>
          <t>npm publish + README funnel from instruct-sync</t>
        </is>
      </c>
    </row>
    <row r="7" ht="36" customHeight="1">
      <c r="A7" s="28" t="inlineStr">
        <is>
          <t>2026-07-09</t>
        </is>
      </c>
      <c r="B7" s="28" t="inlineStr">
        <is>
          <t>PORTFOLIO</t>
        </is>
      </c>
      <c r="C7" s="28" t="inlineStr">
        <is>
          <t>Meta</t>
        </is>
      </c>
      <c r="D7" s="42" t="inlineStr">
        <is>
          <t>Initial 28-opportunity portfolio scored; AI CLI cluster prioritized</t>
        </is>
      </c>
      <c r="E7" s="28" t="inlineStr">
        <is>
          <t>Brainstorm + workspace roadmap</t>
        </is>
      </c>
      <c r="F7" s="28" t="inlineStr">
        <is>
          <t>Baseline scores set</t>
        </is>
      </c>
      <c r="G7" s="42" t="inlineStr">
        <is>
          <t>Re-score after 5 user interviews per NOW item</t>
        </is>
      </c>
    </row>
    <row r="8" ht="36" customHeight="1">
      <c r="A8" s="28" t="inlineStr">
        <is>
          <t>2026-07-09</t>
        </is>
      </c>
      <c r="B8" s="28" t="inlineStr">
        <is>
          <t>P03</t>
        </is>
      </c>
      <c r="C8" s="28" t="inlineStr">
        <is>
          <t>Market</t>
        </is>
      </c>
      <c r="D8" s="42" t="inlineStr">
        <is>
          <t>MCP multi-client config drift remains open problem; sister tool to instruct-sync justified</t>
        </is>
      </c>
      <c r="E8" s="28" t="inlineStr">
        <is>
          <t>Ecosystem observation / roadmap</t>
        </is>
      </c>
      <c r="F8" s="28" t="inlineStr">
        <is>
          <t>NEXT candidate</t>
        </is>
      </c>
      <c r="G8" s="42" t="inlineStr">
        <is>
          <t>Enumerate client MCP paths</t>
        </is>
      </c>
    </row>
    <row r="9" ht="36" customHeight="1">
      <c r="A9" s="28" t="inlineStr">
        <is>
          <t>2026-07-09</t>
        </is>
      </c>
      <c r="B9" s="28" t="inlineStr">
        <is>
          <t>P15</t>
        </is>
      </c>
      <c r="C9" s="28" t="inlineStr">
        <is>
          <t>Market</t>
        </is>
      </c>
      <c r="D9" s="42" t="inlineStr">
        <is>
          <t>India SMB WhatsApp ops remains high burn; competitive BSP landscape noted</t>
        </is>
      </c>
      <c r="E9" s="28" t="inlineStr">
        <is>
          <t>Market context notes</t>
        </is>
      </c>
      <c r="F9" s="28" t="inlineStr">
        <is>
          <t>Burn high, moat low</t>
        </is>
      </c>
      <c r="G9" s="42" t="inlineStr">
        <is>
          <t>Vertical selection interviews</t>
        </is>
      </c>
    </row>
    <row r="10" ht="36" customHeight="1">
      <c r="A10" s="28" t="inlineStr">
        <is>
          <t>2026-07-09</t>
        </is>
      </c>
      <c r="B10" s="28" t="inlineStr">
        <is>
          <t>P11</t>
        </is>
      </c>
      <c r="C10" s="28" t="inlineStr">
        <is>
          <t>Market</t>
        </is>
      </c>
      <c r="D10" s="42" t="inlineStr">
        <is>
          <t>Cloud waste ~30% class from FinOps surveys—category real but crowded</t>
        </is>
      </c>
      <c r="E10" s="28" t="inlineStr">
        <is>
          <t>Flexera-class survey narrative</t>
        </is>
      </c>
      <c r="F10" s="28" t="inlineStr">
        <is>
          <t>Moat scored low</t>
        </is>
      </c>
      <c r="G10" s="42" t="inlineStr">
        <is>
          <t>Only pursue with niche wedge</t>
        </is>
      </c>
    </row>
    <row r="11" ht="36" customHeight="1">
      <c r="A11" s="28" t="inlineStr">
        <is>
          <t>2026-07-09</t>
        </is>
      </c>
      <c r="B11" s="28" t="inlineStr">
        <is>
          <t>MACRO</t>
        </is>
      </c>
      <c r="C11" s="28" t="inlineStr">
        <is>
          <t>Market</t>
        </is>
      </c>
      <c r="D11" s="42" t="inlineStr">
        <is>
          <t>AI agents ~$7–11B mid-decade / ~45% CAGR class directional; India DX ~$124–144B class</t>
        </is>
      </c>
      <c r="E11" s="28" t="inlineStr">
        <is>
          <t>Industry estimate ranges (directional)</t>
        </is>
      </c>
      <c r="F11" s="28" t="inlineStr">
        <is>
          <t>Supports AI tooling + India SMB dual track</t>
        </is>
      </c>
      <c r="G11" s="42" t="inlineStr">
        <is>
          <t>Attach primary sources when externalizing</t>
        </is>
      </c>
    </row>
    <row r="12" ht="36" customHeight="1">
      <c r="A12" s="28" t="inlineStr">
        <is>
          <t>2026-07-11</t>
        </is>
      </c>
      <c r="B12" s="28" t="inlineStr">
        <is>
          <t>P02</t>
        </is>
      </c>
      <c r="C12" s="28" t="inlineStr">
        <is>
          <t>Product</t>
        </is>
      </c>
      <c r="D12" s="42" t="inlineStr">
        <is>
          <t>Verified published on npm: ai-setup-doctor@0.1.0-beta.0 (latest+beta)</t>
        </is>
      </c>
      <c r="E12" s="28" t="inlineStr">
        <is>
          <t>npm registry check</t>
        </is>
      </c>
      <c r="F12" s="28" t="inlineStr">
        <is>
          <t>Status → Published beta; stage → Shipped</t>
        </is>
      </c>
      <c r="G12" s="42" t="inlineStr">
        <is>
          <t>Launch posts; funnel from instruct-sync README</t>
        </is>
      </c>
    </row>
    <row r="13" ht="36" customHeight="1">
      <c r="A13" s="28" t="inlineStr">
        <is>
          <t>2026-07-11</t>
        </is>
      </c>
      <c r="B13" s="28" t="inlineStr">
        <is>
          <t>P03</t>
        </is>
      </c>
      <c r="C13" s="28" t="inlineStr">
        <is>
          <t>Product</t>
        </is>
      </c>
      <c r="D13" s="42" t="inlineStr">
        <is>
          <t>Verified published on npm: @bhaskarauthor/mcp-sync@0.2.0 + alias mcp-config-sync@0.2.0</t>
        </is>
      </c>
      <c r="E13" s="28" t="inlineStr">
        <is>
          <t>npm registry check</t>
        </is>
      </c>
      <c r="F13" s="28" t="inlineStr">
        <is>
          <t>Status → Published; ship 4→5 (TOTAL 21)</t>
        </is>
      </c>
      <c r="G13" s="42" t="inlineStr">
        <is>
          <t>Consolidate package naming; adoption metrics</t>
        </is>
      </c>
    </row>
    <row r="14" ht="36" customHeight="1">
      <c r="A14" s="28" t="inlineStr">
        <is>
          <t>2026-07-11</t>
        </is>
      </c>
      <c r="B14" s="28" t="inlineStr">
        <is>
          <t>P29</t>
        </is>
      </c>
      <c r="C14" s="28" t="inlineStr">
        <is>
          <t>Market</t>
        </is>
      </c>
      <c r="D14" s="42" t="inlineStr">
        <is>
          <t>Agent skills supply chain burning: ToxicSkills 1,467 malicious payloads, 36.8% flawed; 71% MCP servers grade F — added agent-skill-scan (TOTAL 23, NOW)</t>
        </is>
      </c>
      <c r="E14" s="28" t="inlineStr">
        <is>
          <t>Snyk ToxicSkills; MCP audit 2026</t>
        </is>
      </c>
      <c r="F14" s="28" t="inlineStr">
        <is>
          <t>New NOW item; absorbs P04 scope</t>
        </is>
      </c>
      <c r="G14" s="42" t="inlineStr">
        <is>
          <t>Injection heuristic corpus test; build ≈3 wks</t>
        </is>
      </c>
    </row>
    <row r="15" ht="36" customHeight="1">
      <c r="A15" s="28" t="inlineStr">
        <is>
          <t>2026-07-11</t>
        </is>
      </c>
      <c r="B15" s="28" t="inlineStr">
        <is>
          <t>P30</t>
        </is>
      </c>
      <c r="C15" s="28" t="inlineStr">
        <is>
          <t>Market</t>
        </is>
      </c>
      <c r="D15" s="42" t="inlineStr">
        <is>
          <t>Token bill crisis (teams 3x over 2026 budgets by April; Uber, Microsoft anecdotes) — added agent-spend-guard budgets/kill-switch (TOTAL 21, NOW)</t>
        </is>
      </c>
      <c r="E15" s="28" t="inlineStr">
        <is>
          <t>TechCrunch Jun 2026; FinOps Foundation</t>
        </is>
      </c>
      <c r="F15" s="28" t="inlineStr">
        <is>
          <t>New NOW item; supersedes P05 for NOW</t>
        </is>
      </c>
      <c r="G15" s="42" t="inlineStr">
        <is>
          <t>Eng-manager WTP interviews; wrapper vs proxy</t>
        </is>
      </c>
    </row>
    <row r="16" ht="36" customHeight="1">
      <c r="A16" s="28" t="inlineStr">
        <is>
          <t>2026-07-11</t>
        </is>
      </c>
      <c r="B16" s="28" t="inlineStr">
        <is>
          <t>P31</t>
        </is>
      </c>
      <c r="C16" s="28" t="inlineStr">
        <is>
          <t>Market</t>
        </is>
      </c>
      <c r="D16" s="42" t="inlineStr">
        <is>
          <t>Wispr Flow ~$10M ARR/$700M valuation validates paid dictation; Hinglish/Indic wedge added as indic-voice-flow (TOTAL 16, NEXT, PRIVATE-PAID)</t>
        </is>
      </c>
      <c r="E16" s="28" t="inlineStr">
        <is>
          <t>Public funding/revenue reporting</t>
        </is>
      </c>
      <c r="F16" s="28" t="inlineStr">
        <is>
          <t>New NEXT consumer revenue bet</t>
        </is>
      </c>
      <c r="G16" s="42" t="inlineStr">
        <is>
          <t>Hinglish ASR quality test; 20 professional interviews</t>
        </is>
      </c>
    </row>
    <row r="17" ht="36" customHeight="1">
      <c r="A17" s="28" t="inlineStr">
        <is>
          <t>2026-07-11</t>
        </is>
      </c>
      <c r="B17" s="28" t="inlineStr">
        <is>
          <t>PORTFOLIO</t>
        </is>
      </c>
      <c r="C17" s="28" t="inlineStr">
        <is>
          <t>Meta</t>
        </is>
      </c>
      <c r="D17" s="42" t="inlineStr">
        <is>
          <t>Added Visibility marker (OPEN-CORE vs PRIVATE-PAID) + Paid layer column across all 32 items; hygiene-suite strategic line adopted (P01→P03→P02→P29→P30)</t>
        </is>
      </c>
      <c r="E17" s="28" t="inlineStr">
        <is>
          <t>Portfolio review session</t>
        </is>
      </c>
      <c r="F17" s="28" t="inlineStr">
        <is>
          <t>Structure change; no re-scores except P03 ship</t>
        </is>
      </c>
      <c r="G17" s="42" t="inlineStr">
        <is>
          <t>Re-score after launch-week signals</t>
        </is>
      </c>
    </row>
    <row r="18" ht="36" customHeight="1">
      <c r="A18" s="28" t="n"/>
      <c r="B18" s="28" t="n"/>
      <c r="C18" s="28" t="n"/>
      <c r="D18" s="42" t="n"/>
      <c r="E18" s="28" t="n"/>
      <c r="F18" s="28" t="n"/>
      <c r="G18" s="42" t="n"/>
    </row>
    <row r="19" ht="36" customHeight="1">
      <c r="A19" s="28" t="n"/>
      <c r="B19" s="28" t="n"/>
      <c r="C19" s="28" t="n"/>
      <c r="D19" s="42" t="n"/>
      <c r="E19" s="28" t="n"/>
      <c r="F19" s="28" t="n"/>
      <c r="G19" s="42" t="n"/>
    </row>
    <row r="20" ht="36" customHeight="1">
      <c r="A20" s="28" t="n"/>
      <c r="B20" s="28" t="n"/>
      <c r="C20" s="28" t="n"/>
      <c r="D20" s="42" t="n"/>
      <c r="E20" s="28" t="n"/>
      <c r="F20" s="28" t="n"/>
      <c r="G20" s="42" t="n"/>
    </row>
    <row r="21">
      <c r="A21" s="43" t="n"/>
      <c r="B21" s="43" t="n"/>
      <c r="C21" s="43" t="n"/>
      <c r="D21" s="43" t="n"/>
      <c r="E21" s="43" t="n"/>
      <c r="F21" s="43" t="n"/>
      <c r="G21" s="43" t="n"/>
    </row>
    <row r="22">
      <c r="A22" s="43" t="n"/>
      <c r="B22" s="43" t="n"/>
      <c r="C22" s="43" t="n"/>
      <c r="D22" s="43" t="n"/>
      <c r="E22" s="43" t="n"/>
      <c r="F22" s="43" t="n"/>
      <c r="G22" s="43" t="n"/>
    </row>
    <row r="23">
      <c r="A23" s="43" t="n"/>
      <c r="B23" s="43" t="n"/>
      <c r="C23" s="43" t="n"/>
      <c r="D23" s="43" t="n"/>
      <c r="E23" s="43" t="n"/>
      <c r="F23" s="43" t="n"/>
      <c r="G23" s="43" t="n"/>
    </row>
    <row r="24">
      <c r="A24" s="43" t="n"/>
      <c r="B24" s="43" t="n"/>
      <c r="C24" s="43" t="n"/>
      <c r="D24" s="43" t="n"/>
      <c r="E24" s="43" t="n"/>
      <c r="F24" s="43" t="n"/>
      <c r="G24" s="43" t="n"/>
    </row>
    <row r="25">
      <c r="A25" s="43" t="n"/>
      <c r="B25" s="43" t="n"/>
      <c r="C25" s="43" t="n"/>
      <c r="D25" s="43" t="n"/>
      <c r="E25" s="43" t="n"/>
      <c r="F25" s="43" t="n"/>
      <c r="G25" s="43" t="n"/>
    </row>
    <row r="26">
      <c r="A26" s="43" t="n"/>
      <c r="B26" s="43" t="n"/>
      <c r="C26" s="43" t="n"/>
      <c r="D26" s="43" t="n"/>
      <c r="E26" s="43" t="n"/>
      <c r="F26" s="43" t="n"/>
      <c r="G26" s="43" t="n"/>
    </row>
    <row r="27">
      <c r="A27" s="43" t="n"/>
      <c r="B27" s="43" t="n"/>
      <c r="C27" s="43" t="n"/>
      <c r="D27" s="43" t="n"/>
      <c r="E27" s="43" t="n"/>
      <c r="F27" s="43" t="n"/>
      <c r="G27" s="43" t="n"/>
    </row>
    <row r="28">
      <c r="A28" s="43" t="n"/>
      <c r="B28" s="43" t="n"/>
      <c r="C28" s="43" t="n"/>
      <c r="D28" s="43" t="n"/>
      <c r="E28" s="43" t="n"/>
      <c r="F28" s="43" t="n"/>
      <c r="G28" s="43" t="n"/>
    </row>
    <row r="29">
      <c r="A29" s="43" t="n"/>
      <c r="B29" s="43" t="n"/>
      <c r="C29" s="43" t="n"/>
      <c r="D29" s="43" t="n"/>
      <c r="E29" s="43" t="n"/>
      <c r="F29" s="43" t="n"/>
      <c r="G29" s="43" t="n"/>
    </row>
    <row r="30">
      <c r="A30" s="43" t="n"/>
      <c r="B30" s="43" t="n"/>
      <c r="C30" s="43" t="n"/>
      <c r="D30" s="43" t="n"/>
      <c r="E30" s="43" t="n"/>
      <c r="F30" s="43" t="n"/>
      <c r="G30" s="43" t="n"/>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2026-07-11T18:00:47Z</dcterms:created>
  <dcterms:modified xmlns:dcterms="http://purl.org/dc/terms/" xmlns:xsi="http://www.w3.org/2001/XMLSchema-instance" xsi:type="dcterms:W3CDTF">2026-07-11T18:00:47Z</dcterms:modified>
</cp:coreProperties>
</file>